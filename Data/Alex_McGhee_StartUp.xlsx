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2A9E45BE-4FAB-4A8E-9449-D5B9A0C6D7BE}" xr6:coauthVersionLast="47" xr6:coauthVersionMax="47" xr10:uidLastSave="{00000000-0000-0000-0000-000000000000}"/>
  <bookViews>
    <workbookView xWindow="57480" yWindow="-120" windowWidth="29040" windowHeight="15720" tabRatio="803" xr2:uid="{00000000-000D-0000-FFFF-FFFF00000000}"/>
  </bookViews>
  <sheets>
    <sheet name="Summary" sheetId="4" r:id="rId1"/>
    <sheet name="1101935 FY24" sheetId="1" r:id="rId2"/>
    <sheet name="1101935 FY25" sheetId="5" r:id="rId3"/>
    <sheet name="1101935 FY26" sheetId="11" r:id="rId4"/>
    <sheet name="5406011 FY24" sheetId="6" r:id="rId5"/>
    <sheet name="2176351 FY25" sheetId="7" r:id="rId6"/>
    <sheet name="2176351 FY26" sheetId="12" r:id="rId7"/>
    <sheet name="2176300 BMEAM FY24" sheetId="9" r:id="rId8"/>
    <sheet name="2176300 BMEAM FY25" sheetId="8" r:id="rId9"/>
    <sheet name="2215510 BME AM FY24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7" i="4"/>
  <c r="E27" i="4"/>
  <c r="C28" i="4"/>
  <c r="F28" i="4" s="1"/>
  <c r="D28" i="4"/>
  <c r="E28" i="4"/>
  <c r="E32" i="4" s="1"/>
  <c r="C29" i="4"/>
  <c r="F29" i="4" s="1"/>
  <c r="D29" i="4"/>
  <c r="D32" i="4" s="1"/>
  <c r="E29" i="4"/>
  <c r="C30" i="4"/>
  <c r="F30" i="4" s="1"/>
  <c r="D30" i="4"/>
  <c r="E30" i="4"/>
  <c r="C31" i="4"/>
  <c r="D31" i="4"/>
  <c r="E31" i="4"/>
  <c r="D26" i="4"/>
  <c r="E26" i="4"/>
  <c r="C26" i="4"/>
  <c r="F31" i="4"/>
  <c r="F27" i="4"/>
  <c r="C19" i="4"/>
  <c r="F19" i="4" s="1"/>
  <c r="D18" i="4"/>
  <c r="C8" i="4"/>
  <c r="F8" i="4"/>
  <c r="C18" i="4"/>
  <c r="C4" i="4"/>
  <c r="F20" i="4"/>
  <c r="F7" i="4"/>
  <c r="F6" i="4"/>
  <c r="F9" i="4"/>
  <c r="E17" i="4"/>
  <c r="E15" i="4"/>
  <c r="E10" i="4"/>
  <c r="C5" i="4"/>
  <c r="F5" i="4" s="1"/>
  <c r="D4" i="4"/>
  <c r="D10" i="4" s="1"/>
  <c r="D17" i="4"/>
  <c r="F17" i="4" s="1"/>
  <c r="C16" i="4"/>
  <c r="F16" i="4" s="1"/>
  <c r="D15" i="4"/>
  <c r="C15" i="4"/>
  <c r="F15" i="4" s="1"/>
  <c r="C32" i="4" l="1"/>
  <c r="F4" i="4"/>
  <c r="F26" i="4"/>
  <c r="F32" i="4" s="1"/>
  <c r="F18" i="4"/>
  <c r="F21" i="4" s="1"/>
  <c r="F10" i="4"/>
  <c r="I3" i="4" s="1"/>
  <c r="I4" i="4" s="1"/>
  <c r="E21" i="4"/>
  <c r="C10" i="4"/>
  <c r="C21" i="4"/>
  <c r="D21" i="4"/>
</calcChain>
</file>

<file path=xl/sharedStrings.xml><?xml version="1.0" encoding="utf-8"?>
<sst xmlns="http://schemas.openxmlformats.org/spreadsheetml/2006/main" count="7224" uniqueCount="1471">
  <si>
    <t>Account Number</t>
  </si>
  <si>
    <t>Consolidation Object Name </t>
  </si>
  <si>
    <t>Object Code</t>
  </si>
  <si>
    <t>Object Code Name</t>
  </si>
  <si>
    <t>Current Budget </t>
  </si>
  <si>
    <t>Fiscal Year Actuals </t>
  </si>
  <si>
    <t>Inception to Date </t>
  </si>
  <si>
    <t>Open Encumbrances </t>
  </si>
  <si>
    <t>Balance Available</t>
  </si>
  <si>
    <t>1101935</t>
  </si>
  <si>
    <t>OTHER REVENUE</t>
  </si>
  <si>
    <t>0899</t>
  </si>
  <si>
    <t>Net Revenues - FSO Only</t>
  </si>
  <si>
    <t>TRANSFER OF FUNDS</t>
  </si>
  <si>
    <t>0932</t>
  </si>
  <si>
    <t>Budget Adjustment Income Transfer</t>
  </si>
  <si>
    <t>INCOME Total</t>
  </si>
  <si>
    <t>PERSONAL SERVICES</t>
  </si>
  <si>
    <t>1000</t>
  </si>
  <si>
    <t>Personal Services-Budget</t>
  </si>
  <si>
    <t>1212</t>
  </si>
  <si>
    <t>Supp Com Regular App/Fac (ere 4)</t>
  </si>
  <si>
    <t>2121</t>
  </si>
  <si>
    <t>Employee Full-Benefit ERE</t>
  </si>
  <si>
    <t>GENERAL EXPENSES</t>
  </si>
  <si>
    <t>3590</t>
  </si>
  <si>
    <t>R/M Services-Office Furniture &amp; Equipmen</t>
  </si>
  <si>
    <t>3780</t>
  </si>
  <si>
    <t>R/M Services-Other</t>
  </si>
  <si>
    <t>3880</t>
  </si>
  <si>
    <t>Shipping &amp; Handling</t>
  </si>
  <si>
    <t>5230</t>
  </si>
  <si>
    <t>Office Supplies</t>
  </si>
  <si>
    <t>5260</t>
  </si>
  <si>
    <t>R/M Supplies - Shop</t>
  </si>
  <si>
    <t>5270</t>
  </si>
  <si>
    <t>R/M Supplies - Other</t>
  </si>
  <si>
    <t>5290</t>
  </si>
  <si>
    <t>Research Supplies/Medical - Laboratory</t>
  </si>
  <si>
    <t>5490</t>
  </si>
  <si>
    <t>Operating Supplies - Other</t>
  </si>
  <si>
    <t>5520</t>
  </si>
  <si>
    <t>Conference Registration Fees</t>
  </si>
  <si>
    <t>5535</t>
  </si>
  <si>
    <t>Purchasing Transaction Fees</t>
  </si>
  <si>
    <t>5560</t>
  </si>
  <si>
    <t>Freight In/Out - (Noncapital related)</t>
  </si>
  <si>
    <t>5760</t>
  </si>
  <si>
    <t>Noncapitalized Equipment - EDP</t>
  </si>
  <si>
    <t>5770</t>
  </si>
  <si>
    <t>Noncapitalized Equipment - Other</t>
  </si>
  <si>
    <t>5775</t>
  </si>
  <si>
    <t>Noncapitalized Furnishings</t>
  </si>
  <si>
    <t>5780</t>
  </si>
  <si>
    <t>Miscellaneous - Other Operating</t>
  </si>
  <si>
    <t>5899</t>
  </si>
  <si>
    <t>Net Expenses - FSO Only</t>
  </si>
  <si>
    <t>TRAVEL</t>
  </si>
  <si>
    <t>6240</t>
  </si>
  <si>
    <t>TRAVEL-OUT STATE</t>
  </si>
  <si>
    <t>6241</t>
  </si>
  <si>
    <t>TRAVEL-OUT OF STATE AIRLINES</t>
  </si>
  <si>
    <t>6242</t>
  </si>
  <si>
    <t>TRAVEL-OUT STATE HOTEL</t>
  </si>
  <si>
    <t>CAPITAL</t>
  </si>
  <si>
    <t>7690</t>
  </si>
  <si>
    <t>Scientific Equipment</t>
  </si>
  <si>
    <t>EXPENSES Total</t>
  </si>
  <si>
    <t>Grand Total</t>
  </si>
  <si>
    <t>Transaction Date</t>
  </si>
  <si>
    <t>Document</t>
  </si>
  <si>
    <t>Document Number</t>
  </si>
  <si>
    <t>Origin</t>
  </si>
  <si>
    <t>e-Doc Link</t>
  </si>
  <si>
    <t>Post Date</t>
  </si>
  <si>
    <t>Reference Document Number</t>
  </si>
  <si>
    <t>Organization Document Number</t>
  </si>
  <si>
    <t>Entry</t>
  </si>
  <si>
    <t>Document Description</t>
  </si>
  <si>
    <t>Vendor Name</t>
  </si>
  <si>
    <t>Current Budget Amount</t>
  </si>
  <si>
    <t>Current Month Actuals</t>
  </si>
  <si>
    <t>Encumbrance Amount</t>
  </si>
  <si>
    <t>-</t>
  </si>
  <si>
    <t>TF</t>
  </si>
  <si>
    <t>B212966</t>
  </si>
  <si>
    <t>BO</t>
  </si>
  <si>
    <t>Link Not Available</t>
  </si>
  <si>
    <t>2024060450</t>
  </si>
  <si>
    <t>FY24 BME NEI CANCER ENGR ALLOCATION_ALE</t>
  </si>
  <si>
    <t>0932 Total</t>
  </si>
  <si>
    <t>BTR</t>
  </si>
  <si>
    <t>1000 Total</t>
  </si>
  <si>
    <t>LLPE</t>
  </si>
  <si>
    <t>20240522200001</t>
  </si>
  <si>
    <t>UE</t>
  </si>
  <si>
    <t>PAYROLL ENCUMBRANCES</t>
  </si>
  <si>
    <t>20240529200001</t>
  </si>
  <si>
    <t>MF</t>
  </si>
  <si>
    <t>LLPR</t>
  </si>
  <si>
    <t>20240531100001</t>
  </si>
  <si>
    <t>11</t>
  </si>
  <si>
    <t>NORMAL PAYROLL ACTIVITY</t>
  </si>
  <si>
    <t>20240612200001</t>
  </si>
  <si>
    <t>20240626200001</t>
  </si>
  <si>
    <t>20240628100001</t>
  </si>
  <si>
    <t>12</t>
  </si>
  <si>
    <t>20240712100001</t>
  </si>
  <si>
    <t>20240630200000</t>
  </si>
  <si>
    <t>1212 Total</t>
  </si>
  <si>
    <t>2121 Total</t>
  </si>
  <si>
    <t>PCDO</t>
  </si>
  <si>
    <t>27221074</t>
  </si>
  <si>
    <t>01</t>
  </si>
  <si>
    <t>View Document</t>
  </si>
  <si>
    <t>Paint, Pure Tung Oil, Orange Peel Oil</t>
  </si>
  <si>
    <t>Procurement Card - 5745 / MCGHEE, ALEXANDER / 3737 / AMZN Mktp US RN6LU60V2 / $196.08</t>
  </si>
  <si>
    <t>3590 Total</t>
  </si>
  <si>
    <t>28040101</t>
  </si>
  <si>
    <t>Supplies</t>
  </si>
  <si>
    <t>Procurement Card - 5745 / MCGHEE, ALEXANDER / 44619 / THE HOME DEPOT #0486 / $81.56</t>
  </si>
  <si>
    <t>3780 Total</t>
  </si>
  <si>
    <t>26987701</t>
  </si>
  <si>
    <t>Office and lab Reno Supplies SandH</t>
  </si>
  <si>
    <t>Procurement Card - 3322 / CANCER CENTER, ARIZONA / 4382589607001 / AMZN MKTP US / $577.92</t>
  </si>
  <si>
    <t>3880 Total</t>
  </si>
  <si>
    <t>27640100</t>
  </si>
  <si>
    <t>office supplies- storage bins</t>
  </si>
  <si>
    <t>Procurement Card - 5745 / MCGHEE, ALEXANDER / 23105 / AMZN Mktp US QK45I4KX3 / $1065.10</t>
  </si>
  <si>
    <t>27596330</t>
  </si>
  <si>
    <t>office supplies- storage boxes</t>
  </si>
  <si>
    <t>Procurement Card - 5745 / MCGHEE, ALEXANDER / 20135 / Amazon.com AG4TX44I3 / $78.24</t>
  </si>
  <si>
    <t>5230 Total</t>
  </si>
  <si>
    <t>27155406</t>
  </si>
  <si>
    <t>Amazon total</t>
  </si>
  <si>
    <t>Procurement Card - 5745 / MCGHEE, ALEXANDER / 2567 / AMZN Mktp US RW1NM8SU1 / $441.80</t>
  </si>
  <si>
    <t>5260 Total</t>
  </si>
  <si>
    <t>27249962</t>
  </si>
  <si>
    <t>Supplies for renovation</t>
  </si>
  <si>
    <t>Procurement Card - 5745 / MCGHEE, ALEXANDER / 4608 / THE HOME DEPOT #0414 / $294.09</t>
  </si>
  <si>
    <t>27249963</t>
  </si>
  <si>
    <t>Procurement Card - 5745 / MCGHEE, ALEXANDER / 4552 / AMZN Mktp US RN2AB1I82 / $522.01</t>
  </si>
  <si>
    <t>27287014</t>
  </si>
  <si>
    <t>5745 / MCGHEE, ALEXANDER</t>
  </si>
  <si>
    <t>Procurement Card - 5745 / MCGHEE, ALEXANDER / 5650 / AMZN Mktp US / $-55.01</t>
  </si>
  <si>
    <t>27380726</t>
  </si>
  <si>
    <t>Supplies for lab remodel</t>
  </si>
  <si>
    <t>Procurement Card - 5745 / MCGHEE, ALEXANDER / 8974 / THE HOME DEPOT #0414 / $702.37</t>
  </si>
  <si>
    <t>27391196</t>
  </si>
  <si>
    <t>Procurement Card - 5745 / MCGHEE, ALEXANDER / 9730 / THE HOME DEPOT #0486 / $217.77</t>
  </si>
  <si>
    <t>27596331</t>
  </si>
  <si>
    <t>Isopropyl Alcohol</t>
  </si>
  <si>
    <t>Procurement Card - 5745 / MCGHEE, ALEXANDER / 20459 / AMZN Mktp US 9C51L1J13 / $75.98</t>
  </si>
  <si>
    <t>5270 Total</t>
  </si>
  <si>
    <t>PO</t>
  </si>
  <si>
    <t>27100496</t>
  </si>
  <si>
    <t>745248</t>
  </si>
  <si>
    <t>SURPLUS SOLUTIONS LLC</t>
  </si>
  <si>
    <t>Purchase Order - Alexander McGhee - Surplus Solutions LLC</t>
  </si>
  <si>
    <t>PREQ</t>
  </si>
  <si>
    <t>27131938</t>
  </si>
  <si>
    <t>PO: 745248 Vendor: SURPLUS SOLUTIONS LLC Amount: 21179.00</t>
  </si>
  <si>
    <t>27249964</t>
  </si>
  <si>
    <t>Materials to refinish table tops in lab</t>
  </si>
  <si>
    <t>Procurement Card - 5745 / MCGHEE, ALEXANDER / 4686 / FLINN SCIENTIFIC INC / $245.42</t>
  </si>
  <si>
    <t>27380724</t>
  </si>
  <si>
    <t>Lab supplies (tax added to this amount)</t>
  </si>
  <si>
    <t>Procurement Card - 5745 / MCGHEE, ALEXANDER / 9154 / AMZN Mktp US RH8H41D22 / $400.82</t>
  </si>
  <si>
    <t>27380725</t>
  </si>
  <si>
    <t>Procurement Card - 5745 / MCGHEE, ALEXANDER / 8594 / AMZN Mktp US RA4UM9CP2 / $2573.06</t>
  </si>
  <si>
    <t>27611298</t>
  </si>
  <si>
    <t>Procurement Card - 5745 / MCGHEE, ALEXANDER / 22023 / DRILLSANDCUTTERS.COM / $42.89</t>
  </si>
  <si>
    <t>Use Tax 5.600% on 34.90</t>
  </si>
  <si>
    <t>27640099</t>
  </si>
  <si>
    <t>Procurement Card - 5745 / MCGHEE, ALEXANDER / 22682 / MCMASTER-CARR / $253.36</t>
  </si>
  <si>
    <t>27742893</t>
  </si>
  <si>
    <t>Syringes</t>
  </si>
  <si>
    <t>Procurement Card - 5745 / MCGHEE, ALEXANDER / 28899 / HAMILTON COMPANY / $1904.17</t>
  </si>
  <si>
    <t>27831683</t>
  </si>
  <si>
    <t>Supplies for McGhee Lab (syringes)</t>
  </si>
  <si>
    <t>Procurement Card - 5745 / MCGHEE, ALEXANDER / 34019 / HAMILTON COMPANY / $149.27</t>
  </si>
  <si>
    <t>27829653</t>
  </si>
  <si>
    <t>756761</t>
  </si>
  <si>
    <t>UNCHAINED LABS LLC</t>
  </si>
  <si>
    <t>Purchase Order - Alexander Mcghee - Dolomite</t>
  </si>
  <si>
    <t>27900007</t>
  </si>
  <si>
    <t>Supplies for Mcghee Lab</t>
  </si>
  <si>
    <t>Procurement Card - 5745 / MCGHEE, ALEXANDER / 37796 / AMZN Mktp US 0Q3MH8YA3 / $303.44</t>
  </si>
  <si>
    <t>28192433</t>
  </si>
  <si>
    <t>PO: 756761 Vendor: UNCHAINED LABS LLC Amount: 3622.56</t>
  </si>
  <si>
    <t>28053244</t>
  </si>
  <si>
    <t>48 well plates</t>
  </si>
  <si>
    <t>Procurement Card - Auto Approve 06/23/2024 12:51 AM / 45149 / AURITA BIOTECH / $3300.00</t>
  </si>
  <si>
    <t>5290 Total</t>
  </si>
  <si>
    <t>26912771</t>
  </si>
  <si>
    <t>Butcher block counter tops</t>
  </si>
  <si>
    <t>Procurement Card - 0522 / PALSSON, ERIKA / 4375217472001 / AMAZON.COM*R275J2BJ2 / $1430.94</t>
  </si>
  <si>
    <t>26912772</t>
  </si>
  <si>
    <t>Metal table legs for office and lab reno</t>
  </si>
  <si>
    <t>Procurement Card - 0522 / PALSSON, ERIKA / 4375217473001 / AMZN MKTP US / $208.68</t>
  </si>
  <si>
    <t>26912773</t>
  </si>
  <si>
    <t>Supplies to reno lab and office</t>
  </si>
  <si>
    <t>Procurement Card - 0522 / PALSSON, ERIKA / 4375217474001 / AMZN MKTP US / $1432.40</t>
  </si>
  <si>
    <t>26912774</t>
  </si>
  <si>
    <t>Lab and office renovation supplies</t>
  </si>
  <si>
    <t>Procurement Card - 0522 / PALSSON, ERIKA / 4375217470001 / AMZN MKTP US / $958.74</t>
  </si>
  <si>
    <t>26912775</t>
  </si>
  <si>
    <t>Tyvek Coverall</t>
  </si>
  <si>
    <t>Procurement Card - 0522 / PALSSON, ERIKA / 4375217471001 / AMZN MKTP US / $24.78</t>
  </si>
  <si>
    <t>26987700</t>
  </si>
  <si>
    <t>Office and lab Reno supplies</t>
  </si>
  <si>
    <t>Procurement Card - 3322 / CANCER CENTER, ARIZONA / 4382589606001 / AMAZON.COM*RI2LA33V0 / $3759.70</t>
  </si>
  <si>
    <t>26952735</t>
  </si>
  <si>
    <t>Wood Butcher Block Countertop</t>
  </si>
  <si>
    <t>Procurement Card - 3322 / CANCER CENTER, ARIZONA / 4379884221001 / AMAZON.COM*RB0RJ50V2 / $476.98</t>
  </si>
  <si>
    <t>26954123</t>
  </si>
  <si>
    <t>Floating Shelf Bracket (x10)</t>
  </si>
  <si>
    <t>Procurement Card - 3322 / CANCER CENTER, ARIZONA / 4381272298001 / AMZN MKTP US / $1597.90</t>
  </si>
  <si>
    <t>26954124</t>
  </si>
  <si>
    <t>Outlet Surge Protector Power Strip (x2)</t>
  </si>
  <si>
    <t>Procurement Card - 3322 / CANCER CENTER, ARIZONA / 4381272297001 / AMZN MKTP US / $125.18</t>
  </si>
  <si>
    <t>27025573</t>
  </si>
  <si>
    <t>5 lab stool chairs @ 105.99 each</t>
  </si>
  <si>
    <t>Procurement Card - 0522 / PALSSON, ERIKA / 4388470110001 / AMZN MKTP US / $576.05</t>
  </si>
  <si>
    <t>27053057</t>
  </si>
  <si>
    <t>lab and office renovation</t>
  </si>
  <si>
    <t>Procurement Card - 0522 / PALSSON, ERIKA / 4390077399001 / AMZN MKTP US / $576.04</t>
  </si>
  <si>
    <t>5490 Total</t>
  </si>
  <si>
    <t>DVCA</t>
  </si>
  <si>
    <t>27617327</t>
  </si>
  <si>
    <t>T41561</t>
  </si>
  <si>
    <t>Event Registration &amp;amp; Event Dinner</t>
  </si>
  <si>
    <t>Disbursement Voucher T - Travel Expense - Alexander Mcghee - Florida [E:N]</t>
  </si>
  <si>
    <t>27742892</t>
  </si>
  <si>
    <t>Non member registration</t>
  </si>
  <si>
    <t>Procurement Card - 5745 / MCGHEE, ALEXANDER / 28951 / SOC FOR EXPER MECH / $1050.00</t>
  </si>
  <si>
    <t>5520 Total</t>
  </si>
  <si>
    <t>27185986</t>
  </si>
  <si>
    <t>Processing</t>
  </si>
  <si>
    <t>Procurement Card - 5745 / MCGHEE, ALEXANDER / 2942 / CK SURPLUS SOLUTIONS / $1879.75</t>
  </si>
  <si>
    <t>5535 Total</t>
  </si>
  <si>
    <t>26787321</t>
  </si>
  <si>
    <t>740334</t>
  </si>
  <si>
    <t>FORMLABS</t>
  </si>
  <si>
    <t>Purchase Order - Alexander McGhee - FormLabs</t>
  </si>
  <si>
    <t>27001315</t>
  </si>
  <si>
    <t>PO: 740334 Vendor: FORMLABS Amount: 9460.17</t>
  </si>
  <si>
    <t>27618811</t>
  </si>
  <si>
    <t>753373</t>
  </si>
  <si>
    <t>FISHER SCIENTIFIC COMPANY LLC</t>
  </si>
  <si>
    <t>Purchase Order - Alexander McGhee - Fisher Scientific</t>
  </si>
  <si>
    <t>Fright costs</t>
  </si>
  <si>
    <t>Shipping cost</t>
  </si>
  <si>
    <t>PRNC</t>
  </si>
  <si>
    <t>28152614</t>
  </si>
  <si>
    <t>PO: 753373 Vendor: FISHER SCIENTIFIC COMPANY LLC Account: UA 1101935 Amount: 16928.75 Pay Date: 07/02/2024</t>
  </si>
  <si>
    <t>5560 Total</t>
  </si>
  <si>
    <t>26968150</t>
  </si>
  <si>
    <t>Apple</t>
  </si>
  <si>
    <t>Disbursement Voucher E - Expense Reimbursement - Alexander McGhee - Apple [E:N]</t>
  </si>
  <si>
    <t>Wifi adapter</t>
  </si>
  <si>
    <t>5760 Total</t>
  </si>
  <si>
    <t>27400501</t>
  </si>
  <si>
    <t>749977</t>
  </si>
  <si>
    <t>DINGS MOTION USA LLC</t>
  </si>
  <si>
    <t>Purchase Order - Alexander McGhee - Dings Motion</t>
  </si>
  <si>
    <t>OXO Coffee Grinder</t>
  </si>
  <si>
    <t>Siglent tech</t>
  </si>
  <si>
    <t>27932996</t>
  </si>
  <si>
    <t>PO: 753373 Vendor: FISHER SCIENTIFIC COMPANY LLC Account: UA 1101935 Amount: 3284.08 Pay Date: 06/04/2024</t>
  </si>
  <si>
    <t>27933695</t>
  </si>
  <si>
    <t>PO: 753373 Vendor: FISHER SCIENTIFIC COMPANY LLC Account: UA 1101935 Amount: 11670.99 Pay Date: 06/03/2024</t>
  </si>
  <si>
    <t>27936155</t>
  </si>
  <si>
    <t>PO: 753373 Vendor: FISHER SCIENTIFIC COMPANY LLC Account: UA 1101935 Amount: 902.24 Pay Date: 06/05/2024</t>
  </si>
  <si>
    <t>27939663</t>
  </si>
  <si>
    <t>PO: 753373 Vendor: FISHER SCIENTIFIC COMPANY LLC Account: UA 1101935 Amount: 10319.73 Pay Date: 06/08/2024</t>
  </si>
  <si>
    <t>27940050</t>
  </si>
  <si>
    <t>PO: 753373 Vendor: FISHER SCIENTIFIC COMPANY LLC Account: UA 1101935 Amount: 2522.37 Pay Date: 06/09/2024</t>
  </si>
  <si>
    <t>27951933</t>
  </si>
  <si>
    <t>PO: 740334 Vendor: FORMLABS Amount: 379.36</t>
  </si>
  <si>
    <t>28030362</t>
  </si>
  <si>
    <t>PO: 753373 Vendor: FISHER SCIENTIFIC COMPANY LLC Account: UA 1101935 Amount: 931.84 Pay Date: 06/12/2024</t>
  </si>
  <si>
    <t>28043696</t>
  </si>
  <si>
    <t>PO: 749977 Vendor: DINGS MOTION USA LLC Amount: 4456.19</t>
  </si>
  <si>
    <t>28048004</t>
  </si>
  <si>
    <t>PO: 753373 Vendor: FISHER SCIENTIFIC COMPANY LLC Account: UA 1101935 Amount: 721.42 Pay Date: 06/17/2024</t>
  </si>
  <si>
    <t>28048711</t>
  </si>
  <si>
    <t>PO: 753373 Vendor: FISHER SCIENTIFIC COMPANY LLC Account: UA 1101935 Amount: 2431.51 Pay Date: 06/16/2024</t>
  </si>
  <si>
    <t>28048798</t>
  </si>
  <si>
    <t>PO: 753373 Vendor: FISHER SCIENTIFIC COMPANY LLC Account: UA 1101935 Amount: 1275.12 Pay Date: 06/23/2024</t>
  </si>
  <si>
    <t>28048814</t>
  </si>
  <si>
    <t>PO: 753373 Vendor: FISHER SCIENTIFIC COMPANY LLC Account: UA 1101935 Amount: 651.67 Pay Date: 06/25/2024</t>
  </si>
  <si>
    <t>28048840</t>
  </si>
  <si>
    <t>PO: 753373 Vendor: FISHER SCIENTIFIC COMPANY LLC Account: UA 1101935 Amount: 18300.84 Pay Date: 06/26/2024</t>
  </si>
  <si>
    <t>28152642</t>
  </si>
  <si>
    <t>PO: 753373 Vendor: FISHER SCIENTIFIC COMPANY LLC Account: UA 1101935 Amount: 23796.86 Pay Date: 07/07/2024</t>
  </si>
  <si>
    <t>28152679</t>
  </si>
  <si>
    <t>PO: 753373 Vendor: FISHER SCIENTIFIC COMPANY LLC Account: UA 1101935 Amount: 0.01 Pay Date: 07/09/2024</t>
  </si>
  <si>
    <t>28300122</t>
  </si>
  <si>
    <t>PO: 753373 Vendor: FISHER SCIENTIFIC COMPANY LLC Account: UA 1101935 Amount: 943.60 Pay Date: 07/23/2024</t>
  </si>
  <si>
    <t>5770 Total</t>
  </si>
  <si>
    <t>27155407</t>
  </si>
  <si>
    <t>refrigerator</t>
  </si>
  <si>
    <t>Procurement Card - 5745 / MCGHEE, ALEXANDER / 2475 / AMAZON.COM RW9DA72D1 / $250.87</t>
  </si>
  <si>
    <t>27222751</t>
  </si>
  <si>
    <t>Floating Shelf</t>
  </si>
  <si>
    <t>Procurement Card - 5745 / MCGHEE, ALEXANDER / 4010 / AMZN Mktp US R67LS24W0 / $309.80</t>
  </si>
  <si>
    <t>Renovations</t>
  </si>
  <si>
    <t>27272857</t>
  </si>
  <si>
    <t>Table legs</t>
  </si>
  <si>
    <t>Procurement Card - 5745 / MCGHEE, ALEXANDER / 5084 / AMZN Mktp US RN5AY3Q71 / $72.27</t>
  </si>
  <si>
    <t>5775 Total</t>
  </si>
  <si>
    <t>27611297</t>
  </si>
  <si>
    <t>Procurement Card - 5745 / MCGHEE, ALEXANDER / 22097 / AMZN Mktp US FI5V21PS3 / $203.81</t>
  </si>
  <si>
    <t>27584552</t>
  </si>
  <si>
    <t>Air Purifier</t>
  </si>
  <si>
    <t>Procurement Card - 5745 / MCGHEE, ALEXANDER / 19543 / MACYS MARKETPLACE / $541.33</t>
  </si>
  <si>
    <t>27609764</t>
  </si>
  <si>
    <t>Procurement Card - 5745 / MCGHEE, ALEXANDER / 21182 / ACE HDWE / $43.43</t>
  </si>
  <si>
    <t>5780 Total</t>
  </si>
  <si>
    <t>Meals and Transportation</t>
  </si>
  <si>
    <t>6240 Total</t>
  </si>
  <si>
    <t>flight costs</t>
  </si>
  <si>
    <t>27913782</t>
  </si>
  <si>
    <t>Round trip ticket</t>
  </si>
  <si>
    <t>Procurement Card - 5745 / MCGHEE, ALEXANDER / 38832 / DELTA AIR 0062237104896 / $480.95</t>
  </si>
  <si>
    <t>6241 Total</t>
  </si>
  <si>
    <t>Lodging-Marriott</t>
  </si>
  <si>
    <t>6242 Total</t>
  </si>
  <si>
    <t>GEC</t>
  </si>
  <si>
    <t>27176726</t>
  </si>
  <si>
    <t>01-27111175: BOSTON INDUSTRIES INC</t>
  </si>
  <si>
    <t>General Error Correction - Alexander McGhee Lab Equipment</t>
  </si>
  <si>
    <t>27375160</t>
  </si>
  <si>
    <t>749517</t>
  </si>
  <si>
    <t>NIKON INSTRUMENTS INC</t>
  </si>
  <si>
    <t>Purchase Order - Alexander McGhee - Nikon</t>
  </si>
  <si>
    <t>28062536</t>
  </si>
  <si>
    <t>PO: 749517 Vendor: NIKON INSTRUMENTS INC Account: UA 1101935 Amount: 540233.87 Pay Date: 06/19/2024</t>
  </si>
  <si>
    <t>28216743</t>
  </si>
  <si>
    <t>PO: 753373 Vendor: FISHER SCIENTIFIC COMPANY LLC Account: UA 1101935 Amount: 12713.31 Pay Date: 07/10/2024</t>
  </si>
  <si>
    <t>7690 Total</t>
  </si>
  <si>
    <t>02</t>
  </si>
  <si>
    <t>1101935 Total</t>
  </si>
  <si>
    <t>Account Number</t>
  </si>
  <si>
    <t>Sub Account Number</t>
  </si>
  <si>
    <t>Employee Name</t>
  </si>
  <si>
    <t>Position Number</t>
  </si>
  <si>
    <t>Pay Period Earn Date</t>
  </si>
  <si>
    <t>Document Type Code</t>
  </si>
  <si>
    <t>Job FTE</t>
  </si>
  <si>
    <t>Hours Worked</t>
  </si>
  <si>
    <t>Expenditure Amount</t>
  </si>
  <si>
    <t>McGhee,Alexander</t>
  </si>
  <si>
    <t>1867411</t>
  </si>
  <si>
    <t>- Total</t>
  </si>
  <si>
    <t>Account</t>
  </si>
  <si>
    <t>FY24</t>
  </si>
  <si>
    <t>FY25</t>
  </si>
  <si>
    <t>INCOME AND EXPENSE REPORT</t>
  </si>
  <si>
    <t>R/M Services-Office Furniture &amp; Equipment</t>
  </si>
  <si>
    <t>TRANSACTION REPORT</t>
  </si>
  <si>
    <t>PAYROLL REPORT</t>
  </si>
  <si>
    <t>2176301 BMEAM</t>
  </si>
  <si>
    <t>2176300 BMEAM</t>
  </si>
  <si>
    <t>2215510 BMEAM</t>
  </si>
  <si>
    <t>EXPENSES</t>
  </si>
  <si>
    <t>Total</t>
  </si>
  <si>
    <t>1190</t>
  </si>
  <si>
    <t>Graduate Asst/Assoc Salaries (ere 8)</t>
  </si>
  <si>
    <t>1213</t>
  </si>
  <si>
    <t>Supp Comp Grad (ere 8)</t>
  </si>
  <si>
    <t>1340</t>
  </si>
  <si>
    <t>Student Wages (ere1)</t>
  </si>
  <si>
    <t>2117</t>
  </si>
  <si>
    <t>Student Employees ERE</t>
  </si>
  <si>
    <t>2119</t>
  </si>
  <si>
    <t>Graduate Assistants ERE</t>
  </si>
  <si>
    <t>3510</t>
  </si>
  <si>
    <t>R/M Services-Buildings</t>
  </si>
  <si>
    <t>3870</t>
  </si>
  <si>
    <t>Express Shipping</t>
  </si>
  <si>
    <t>4620</t>
  </si>
  <si>
    <t>Software Licenses/Royalties</t>
  </si>
  <si>
    <t>4840</t>
  </si>
  <si>
    <t>Printing &amp; Lithography</t>
  </si>
  <si>
    <t>5150</t>
  </si>
  <si>
    <t>Data Processing Supplies</t>
  </si>
  <si>
    <t>5180</t>
  </si>
  <si>
    <t>Educational Supplies</t>
  </si>
  <si>
    <t>5220</t>
  </si>
  <si>
    <t>Housekeeping Supplies</t>
  </si>
  <si>
    <t>5540</t>
  </si>
  <si>
    <t>Dues</t>
  </si>
  <si>
    <t>5610</t>
  </si>
  <si>
    <t>Subscriptions</t>
  </si>
  <si>
    <t>B217367</t>
  </si>
  <si>
    <t>2025020750</t>
  </si>
  <si>
    <t>FY25 ENGR COMMITMENT TO MCGHEE STARTUP P</t>
  </si>
  <si>
    <t>20250122200001</t>
  </si>
  <si>
    <t>20250205200001</t>
  </si>
  <si>
    <t>20250207100001</t>
  </si>
  <si>
    <t>07</t>
  </si>
  <si>
    <t>ST</t>
  </si>
  <si>
    <t>30115321</t>
  </si>
  <si>
    <t>Alia Rose Starman</t>
  </si>
  <si>
    <t>Salary Expense Transfer - Salary Expense Transfer Alia Starman</t>
  </si>
  <si>
    <t>20250210200000</t>
  </si>
  <si>
    <t>1190 Total</t>
  </si>
  <si>
    <t>20240707200001</t>
  </si>
  <si>
    <t>20240717200001</t>
  </si>
  <si>
    <t>20240724200001</t>
  </si>
  <si>
    <t>20240726100001</t>
  </si>
  <si>
    <t>20240807200001</t>
  </si>
  <si>
    <t>20240809100001</t>
  </si>
  <si>
    <t>20240821200000</t>
  </si>
  <si>
    <t>20240823100001</t>
  </si>
  <si>
    <t>20250519200001</t>
  </si>
  <si>
    <t>20250611200001</t>
  </si>
  <si>
    <t>20250613100001</t>
  </si>
  <si>
    <t>20250625200001</t>
  </si>
  <si>
    <t>20250627100001</t>
  </si>
  <si>
    <t>20250711100001</t>
  </si>
  <si>
    <t>20250630200000</t>
  </si>
  <si>
    <t>20250514200001</t>
  </si>
  <si>
    <t>1213 Total</t>
  </si>
  <si>
    <t>20240821200001</t>
  </si>
  <si>
    <t>20240904200001</t>
  </si>
  <si>
    <t>20240906100001</t>
  </si>
  <si>
    <t>20240918200001</t>
  </si>
  <si>
    <t>20241002200001</t>
  </si>
  <si>
    <t>20241016200001</t>
  </si>
  <si>
    <t>20241018100001</t>
  </si>
  <si>
    <t>03</t>
  </si>
  <si>
    <t>04</t>
  </si>
  <si>
    <t>20241101100001</t>
  </si>
  <si>
    <t>20241101200001</t>
  </si>
  <si>
    <t>20241113200001</t>
  </si>
  <si>
    <t>20241115100001</t>
  </si>
  <si>
    <t>05</t>
  </si>
  <si>
    <t>20241125200001</t>
  </si>
  <si>
    <t>20241127100001</t>
  </si>
  <si>
    <t>20241211200001</t>
  </si>
  <si>
    <t>20241213100001</t>
  </si>
  <si>
    <t>06</t>
  </si>
  <si>
    <t>20241220200001</t>
  </si>
  <si>
    <t>20241227100001</t>
  </si>
  <si>
    <t>20241223200001</t>
  </si>
  <si>
    <t>20250108200001</t>
  </si>
  <si>
    <t>20250124100001</t>
  </si>
  <si>
    <t>20250219200001</t>
  </si>
  <si>
    <t>20250221100001</t>
  </si>
  <si>
    <t>08</t>
  </si>
  <si>
    <t>20250305200001</t>
  </si>
  <si>
    <t>20250307100001</t>
  </si>
  <si>
    <t>20250319200001</t>
  </si>
  <si>
    <t>20250402200001</t>
  </si>
  <si>
    <t>20250404100001</t>
  </si>
  <si>
    <t>09</t>
  </si>
  <si>
    <t>20250416200001</t>
  </si>
  <si>
    <t>20250502100001</t>
  </si>
  <si>
    <t>10</t>
  </si>
  <si>
    <t>20250501200001</t>
  </si>
  <si>
    <t>20250516200001</t>
  </si>
  <si>
    <t>20250528200000</t>
  </si>
  <si>
    <t>20250530100001</t>
  </si>
  <si>
    <t>1340 Total</t>
  </si>
  <si>
    <t>2117 Total</t>
  </si>
  <si>
    <t>2119 Total</t>
  </si>
  <si>
    <t>YEGE</t>
  </si>
  <si>
    <t>31553281</t>
  </si>
  <si>
    <t>01-30783481: FM-20240926FM1: S5914/Jo...</t>
  </si>
  <si>
    <t>Year End General Error Correction - Moving expenses to correct account</t>
  </si>
  <si>
    <t>01-30783481: FM-20241016FM1: S5914/Jo...</t>
  </si>
  <si>
    <t>01-30783481: FM-20241219FM1: S5914/Jo...</t>
  </si>
  <si>
    <t>3510 Total</t>
  </si>
  <si>
    <t>01-28659256: Delivery</t>
  </si>
  <si>
    <t>3870 Total</t>
  </si>
  <si>
    <t>29669157</t>
  </si>
  <si>
    <t>Yearly chat gpt subscription</t>
  </si>
  <si>
    <t>Procurement Card - 5745 / MCGHEE, ALEXANDER / 136964 / OPENAI CHATGPT SUBSCR / $652.20</t>
  </si>
  <si>
    <t>01-28849510: Aid for LaTex code</t>
  </si>
  <si>
    <t>01-28849510: Use Tax 5.600% on 199.00</t>
  </si>
  <si>
    <t>01-28915583: Coding development</t>
  </si>
  <si>
    <t>4620 Total</t>
  </si>
  <si>
    <t>SB</t>
  </si>
  <si>
    <t>29652192</t>
  </si>
  <si>
    <t>FAST COPY 11/20/24</t>
  </si>
  <si>
    <t>Service Billing - Fast Copy Nov Service Billing</t>
  </si>
  <si>
    <t>4840 Total</t>
  </si>
  <si>
    <t>01-30637468: WIFI Adapter</t>
  </si>
  <si>
    <t>5150 Total</t>
  </si>
  <si>
    <t>28709698</t>
  </si>
  <si>
    <t>Lenovo desktop computer</t>
  </si>
  <si>
    <t>Procurement Card - Auto Approve 09/01/2024 12:47 AM / 79486 / AMZN Mktp US RU5TF6F00 / $250.00</t>
  </si>
  <si>
    <t>29206717</t>
  </si>
  <si>
    <t>Dry Erase markers for students</t>
  </si>
  <si>
    <t>Procurement Card - 5745 / MCGHEE, ALEXANDER / 109864 / AMZN Mktp US C10KP4133 / $17.70</t>
  </si>
  <si>
    <t>29206718</t>
  </si>
  <si>
    <t>Procurement Card - 5745 / MCGHEE, ALEXANDER / 109799 / AMAZON MARK BM2FQ9IO3 / $40.50</t>
  </si>
  <si>
    <t>5180 Total</t>
  </si>
  <si>
    <t>29842942</t>
  </si>
  <si>
    <t>mop and broom to clean the lab</t>
  </si>
  <si>
    <t>Procurement Card - 5745 / MCGHEE, ALEXANDER / 147214 / THE HOME DEPOT #0486 / $107.62</t>
  </si>
  <si>
    <t>5220 Total</t>
  </si>
  <si>
    <t>28982577</t>
  </si>
  <si>
    <t>Supplies for building drawers in the lab</t>
  </si>
  <si>
    <t>Procurement Card - 5745 / MCGHEE, ALEXANDER / 95192 / THE HOME DEPOT #0486 / $586.69</t>
  </si>
  <si>
    <t>29505536</t>
  </si>
  <si>
    <t>rolling lab chairs to use in mcghee lab</t>
  </si>
  <si>
    <t>Procurement Card - 5745 / MCGHEE, ALEXANDER / 127683 / AMZN Mktp US ZD7T03IM3 / $521.72</t>
  </si>
  <si>
    <t>29862491</t>
  </si>
  <si>
    <t>Dry erase boards</t>
  </si>
  <si>
    <t>Procurement Card - 5745 / MCGHEE, ALEXANDER / 148306 / Amazon.com Z58ZG3L72 / $326.09</t>
  </si>
  <si>
    <t>29912447</t>
  </si>
  <si>
    <t>Procurement Card - 5745 / MCGHEE, ALEXANDER / 150998 / Amazon.com ZG1PP7O22 / $652.18</t>
  </si>
  <si>
    <t>29935945</t>
  </si>
  <si>
    <t>Dry Erase markers</t>
  </si>
  <si>
    <t>Procurement Card - 5745 / MCGHEE, ALEXANDER / 152226 / AMZN Mktp US ZD8LT6WC1 / $46.41</t>
  </si>
  <si>
    <t>30080134</t>
  </si>
  <si>
    <t>Privacy screen</t>
  </si>
  <si>
    <t>Procurement Card - 5745 / MCGHEE, ALEXANDER / 161028 / AMAZON MKTPL Z78Q47IY2 / $139.89</t>
  </si>
  <si>
    <t>01-29862492: White Board</t>
  </si>
  <si>
    <t>29050046</t>
  </si>
  <si>
    <t>Ply wood</t>
  </si>
  <si>
    <t>Procurement Card - 5745 / MCGHEE, ALEXANDER / 99427 / THE HOME DEPOT #0486 / $202.79</t>
  </si>
  <si>
    <t>29050048</t>
  </si>
  <si>
    <t>Refund for Ply wood</t>
  </si>
  <si>
    <t>Procurement Card - Auto Approve 10/10/2024 12:19 AM / 99837 / THE HOME DEPOT #0486 / $-213.66</t>
  </si>
  <si>
    <t>31097827</t>
  </si>
  <si>
    <t>806710</t>
  </si>
  <si>
    <t>WW GRAINGER INC</t>
  </si>
  <si>
    <t>PO: 806710 Contract Manager: 99 Vendor: WW GRAINGER INC Amount: 181.78</t>
  </si>
  <si>
    <t>31196997</t>
  </si>
  <si>
    <t>PO: 806710 Vendor: WW GRAINGER INC Account: UA 1101935 Amount: 20.97 Pay Date: 06/24/2025</t>
  </si>
  <si>
    <t>31212786</t>
  </si>
  <si>
    <t>PO: 806710 Vendor: WW GRAINGER INC Account: UA 1101935 Amount: 17.67 Pay Date: 06/24/2025</t>
  </si>
  <si>
    <t>31212828</t>
  </si>
  <si>
    <t>PO: 806710 Vendor: WW GRAINGER INC Account: UA 1101935 Amount: 142.48 Pay Date: 06/22/2025</t>
  </si>
  <si>
    <t>28368109</t>
  </si>
  <si>
    <t>764325</t>
  </si>
  <si>
    <t>PO: 764325 Contract Manager: 99 Vendor: WW GRAINGER INC Amount: 483.35</t>
  </si>
  <si>
    <t>28337566</t>
  </si>
  <si>
    <t>Supplies for McGheeLab</t>
  </si>
  <si>
    <t>Procurement Card - 5745 / MCGHEE, ALEXANDER / 58958 / IN AURITA CORPORATION / $2500.00</t>
  </si>
  <si>
    <t>28357712</t>
  </si>
  <si>
    <t>Procurement Card - 5745 / MCGHEE, ALEXANDER / 60238 / AMAZON MKTPL R73BL0ZD2 / $16.28</t>
  </si>
  <si>
    <t>28357714</t>
  </si>
  <si>
    <t>Procurement Card - 5745 / MCGHEE, ALEXANDER / 60497 / AMAZON MKTPL R76CI6JB2 / $23.90</t>
  </si>
  <si>
    <t>28357715</t>
  </si>
  <si>
    <t>Procurement Card - 5745 / MCGHEE, ALEXANDER / 60478 / AMAZON MKTPL R72M06ZV2 / $361.83</t>
  </si>
  <si>
    <t>28404694</t>
  </si>
  <si>
    <t>PO: 764325 Vendor: WW GRAINGER INC Account: UA 1101935 Amount: 519.02 Pay Date: 08/04/2024</t>
  </si>
  <si>
    <t>28404801</t>
  </si>
  <si>
    <t>PO: 764325 Vendor: WW GRAINGER INC Account: UA 1101935 Amount: 6.37 Pay Date: 08/04/2024</t>
  </si>
  <si>
    <t>28479356</t>
  </si>
  <si>
    <t>766184</t>
  </si>
  <si>
    <t>PO: 766184 Contract Manager: 99 Vendor: WW GRAINGER INC Amount: 1186.90</t>
  </si>
  <si>
    <t>28479566</t>
  </si>
  <si>
    <t>766189</t>
  </si>
  <si>
    <t>VWR INTL LLC</t>
  </si>
  <si>
    <t>PO: 766189 Contract Manager: 99 Vendor: VWR INTL LLC Amount: 12708.18</t>
  </si>
  <si>
    <t>28480302</t>
  </si>
  <si>
    <t>766198</t>
  </si>
  <si>
    <t>LIFE TECHNOLOGIES CORP</t>
  </si>
  <si>
    <t>PO: 766198 Contract Manager: 99 Vendor: LIFE TECHNOLOGIES CORP Amount: 321.85</t>
  </si>
  <si>
    <t>28501262</t>
  </si>
  <si>
    <t>766579</t>
  </si>
  <si>
    <t>ODP BUSINESS SOLUTIONS LLC</t>
  </si>
  <si>
    <t>PO: 766579 Contract Manager: 99 Vendor: ODP BUSINESS SOLUTIONS LLC Amount: 446.20</t>
  </si>
  <si>
    <t>28502807</t>
  </si>
  <si>
    <t>766593</t>
  </si>
  <si>
    <t>SIGMA ALDRICH INC</t>
  </si>
  <si>
    <t>PO: 766593 Contract Manager: 99 Vendor: SIGMA ALDRICH INC Amount: 5240.33</t>
  </si>
  <si>
    <t>28501897</t>
  </si>
  <si>
    <t>PO: 766184 Vendor: WW GRAINGER INC Account: UA 1101935 Amount: 1182.55 Pay Date: 08/17/2024</t>
  </si>
  <si>
    <t>28520747</t>
  </si>
  <si>
    <t>PO: 766579 Vendor: ODP BUSINESS SOLUTIONS LLC Amount: 167.92</t>
  </si>
  <si>
    <t>28436212</t>
  </si>
  <si>
    <t>Supplies for McGhee Lab</t>
  </si>
  <si>
    <t>Procurement Card - 5745 / MCGHEE, ALEXANDER / 63947 / AMAZON MKTPL RY8WS2IE1 / $127.12</t>
  </si>
  <si>
    <t>28436213</t>
  </si>
  <si>
    <t>Procurement Card - 5745 / MCGHEE, ALEXANDER / 64163 / AMAZON MKTPL RY84S77Q2 / $114.60</t>
  </si>
  <si>
    <t>28436214</t>
  </si>
  <si>
    <t>Procurement Card - 5745 / MCGHEE, ALEXANDER / 63605 / AMAZON MKTPL RY5BR7662 / $406.98</t>
  </si>
  <si>
    <t>28446795</t>
  </si>
  <si>
    <t>Procurement Card - 5745 / MCGHEE, ALEXANDER / 64645 / AMAZON MKTPL RY5896YP1 / $28.25</t>
  </si>
  <si>
    <t>28446796</t>
  </si>
  <si>
    <t>Procurement Card - 5745 / MCGHEE, ALEXANDER / 64547 / SP LIFE SCIENCES TRA / $1350.00</t>
  </si>
  <si>
    <t>28498297</t>
  </si>
  <si>
    <t>Procurement Card - 5745 / MCGHEE, ALEXANDER / 66885 / THE HOME DEPOT #0486 / $166.75</t>
  </si>
  <si>
    <t>28536258</t>
  </si>
  <si>
    <t>PO: 766189 Vendor: VWR INTL LLC Account: UA 1101935 Amount: 12591.69 Pay Date: 08/20/2024</t>
  </si>
  <si>
    <t>28553373</t>
  </si>
  <si>
    <t>767458</t>
  </si>
  <si>
    <t>PO: 767458 Contract Manager: 99 Vendor: SIGMA ALDRICH INC Amount: 115.65</t>
  </si>
  <si>
    <t>28544708</t>
  </si>
  <si>
    <t>PO: 766198 Vendor: LIFE TECHNOLOGIES CORP Amount: 394.06</t>
  </si>
  <si>
    <t>28549850</t>
  </si>
  <si>
    <t>28520998</t>
  </si>
  <si>
    <t>PO: 766593 Vendor: SIGMA ALDRICH INC Account: UA 1101935 Amount: 400.71 Pay Date: 08/20/2024</t>
  </si>
  <si>
    <t>28565172</t>
  </si>
  <si>
    <t>28521104</t>
  </si>
  <si>
    <t>PO: 766593 Vendor: SIGMA ALDRICH INC Account: UA 1101935 Amount: 1268.53 Pay Date: 08/20/2024</t>
  </si>
  <si>
    <t>28565374</t>
  </si>
  <si>
    <t>28521156</t>
  </si>
  <si>
    <t>PO: 766593 Vendor: SIGMA ALDRICH INC Account: UA 1101935 Amount: 404.93 Pay Date: 08/20/2024</t>
  </si>
  <si>
    <t>28608443</t>
  </si>
  <si>
    <t>28564571</t>
  </si>
  <si>
    <t>PO: 767458 Vendor: SIGMA ALDRICH INC Account: UA 1101935 Amount: 129.00 Pay Date: 08/26/2024</t>
  </si>
  <si>
    <t>28608930</t>
  </si>
  <si>
    <t>28530508</t>
  </si>
  <si>
    <t>PO: 766593 Vendor: SIGMA ALDRICH INC Account: UA 1101935 Amount: 1438.79 Pay Date: 08/21/2024</t>
  </si>
  <si>
    <t>28623033</t>
  </si>
  <si>
    <t>28573936</t>
  </si>
  <si>
    <t>PO: 766593 Vendor: SIGMA ALDRICH INC Account: UA 1101935 Amount: 468.36 Pay Date: 08/27/2024</t>
  </si>
  <si>
    <t>28520284</t>
  </si>
  <si>
    <t>Procurement Card - Auto Approve 08/10/2024 12:17 AM / 68505 / SPHERE FLUIDICS LIMITE / $2515.91</t>
  </si>
  <si>
    <t>28520285</t>
  </si>
  <si>
    <t>Procurement Card - Auto Approve 08/10/2024 12:17 AM / 68898 / AMAZON MKTPL RJ6CQ56R2 / $141.26</t>
  </si>
  <si>
    <t>28520286</t>
  </si>
  <si>
    <t>Procurement Card - Auto Approve 08/10/2024 12:17 AM / 68980 / AMAZON MKTPL RJ5X33H82 / $49.99</t>
  </si>
  <si>
    <t>28531582</t>
  </si>
  <si>
    <t>Microfluidic droplet generation package</t>
  </si>
  <si>
    <t>Procurement Card - Auto Approve 08/12/2024 12:47 AM / 70058 / PAYPAL BARTELSMIKR / $2559.49</t>
  </si>
  <si>
    <t>Use Tax 5.600% on 2559.49</t>
  </si>
  <si>
    <t>28563910</t>
  </si>
  <si>
    <t>Procurement Card - 5745 / MCGHEE, ALEXANDER / 71471 / AMAZON MKTPL RV5CV1QD0 / $8.25</t>
  </si>
  <si>
    <t>28573256</t>
  </si>
  <si>
    <t>Procurement Card - 5745 / MCGHEE, ALEXANDER / 72184 / AMAZON MKTPL RV35A4YJ2 / $46.87</t>
  </si>
  <si>
    <t>28611795</t>
  </si>
  <si>
    <t>Procurement Card - 5745 / MCGHEE, ALEXANDER / 74424 / AMAZON MKTPL RF04L3ZT0 / $41.29</t>
  </si>
  <si>
    <t>28652386</t>
  </si>
  <si>
    <t>769056</t>
  </si>
  <si>
    <t>PO: 769056 Contract Manager: 99 Vendor: WW GRAINGER INC Amount: 512.56</t>
  </si>
  <si>
    <t>28687838</t>
  </si>
  <si>
    <t>28612168</t>
  </si>
  <si>
    <t>PO: 766593 Vendor: SIGMA ALDRICH INC Account: UA 1101935 Amount: 437.07 Pay Date: 09/01/2024</t>
  </si>
  <si>
    <t>28697042</t>
  </si>
  <si>
    <t>PO: 766579 Vendor: ODP BUSINESS SOLUTIONS LLC Amount: 275.87</t>
  </si>
  <si>
    <t>28729317</t>
  </si>
  <si>
    <t>770148</t>
  </si>
  <si>
    <t>CELL CULTURE COLLECTIVE INC</t>
  </si>
  <si>
    <t>PO: 770148 Contract Manager: 99 Vendor: CELL CULTURE COLLECTIVE INC Amount: 656.35</t>
  </si>
  <si>
    <t>28729760</t>
  </si>
  <si>
    <t>770155</t>
  </si>
  <si>
    <t>PO: 770155 Contract Manager: 99 Vendor: FISHER SCIENTIFIC COMPANY LLC Amount: 1668.80</t>
  </si>
  <si>
    <t>28729778</t>
  </si>
  <si>
    <t>770156</t>
  </si>
  <si>
    <t>PO: 770156 Contract Manager: 99 Vendor: CELL CULTURE COLLECTIVE INC Amount: 857.57</t>
  </si>
  <si>
    <t>28734427</t>
  </si>
  <si>
    <t>770297</t>
  </si>
  <si>
    <t>RESEARCH PRODUCTS INTL CORP</t>
  </si>
  <si>
    <t>PO: 770297 Contract Manager: 99 Vendor: RESEARCH PRODUCTS INTL CORP Amount: 1238.88</t>
  </si>
  <si>
    <t>28734443</t>
  </si>
  <si>
    <t>770298</t>
  </si>
  <si>
    <t>USA SCIENTIFIC INC</t>
  </si>
  <si>
    <t>PO: 770298 Contract Manager: 99 Vendor: USA SCIENTIFIC INC Amount: 146.45</t>
  </si>
  <si>
    <t>28734458</t>
  </si>
  <si>
    <t>770299</t>
  </si>
  <si>
    <t>CHEMGLASS LIFE SCIENCES LLC</t>
  </si>
  <si>
    <t>PO: 770299 Contract Manager: 99 Vendor: CHEMGLASS LIFE SCIENCES LLC Amount: 332.78</t>
  </si>
  <si>
    <t>28734487</t>
  </si>
  <si>
    <t>770300</t>
  </si>
  <si>
    <t>PO: 770300 Contract Manager: 99 Vendor: VWR INTL LLC Amount: 1541.74</t>
  </si>
  <si>
    <t>28736212</t>
  </si>
  <si>
    <t>770348</t>
  </si>
  <si>
    <t>PO: 770348 Contract Manager: 99 Vendor: VWR INTL LLC Amount: 1880.38</t>
  </si>
  <si>
    <t>28739546</t>
  </si>
  <si>
    <t>PO: 770155 Vendor: FISHER SCIENTIFIC COMPANY LLC Account: UA 1101935 Amount: 706.55 Pay Date: 09/15/2024</t>
  </si>
  <si>
    <t>28747292</t>
  </si>
  <si>
    <t>PO: 769056 Vendor: WW GRAINGER INC Account: UA 1101935 Amount: 659.69 Pay Date: 09/11/2024</t>
  </si>
  <si>
    <t>28754659</t>
  </si>
  <si>
    <t>770657</t>
  </si>
  <si>
    <t>PO: 770657 Contract Manager: 99 Vendor: SIGMA ALDRICH INC Amount: 311.16</t>
  </si>
  <si>
    <t>28749825</t>
  </si>
  <si>
    <t>PO: 770155 Vendor: FISHER SCIENTIFIC COMPANY LLC Account: UA 1101935 Amount: 247.54 Pay Date: 09/16/2024</t>
  </si>
  <si>
    <t>28767061</t>
  </si>
  <si>
    <t>PO: 770297 Vendor: RESEARCH PRODUCTS INTL CORP Amount: 808.00</t>
  </si>
  <si>
    <t>28760224</t>
  </si>
  <si>
    <t>PO: 770300 Vendor: VWR INTL LLC Account: UA 1101935 Amount: 55.78 Pay Date: 09/17/2024</t>
  </si>
  <si>
    <t>28760231</t>
  </si>
  <si>
    <t>PO: 770348 Vendor: VWR INTL LLC Account: UA 1101935 Amount: 1175.61 Pay Date: 09/17/2024</t>
  </si>
  <si>
    <t>28760237</t>
  </si>
  <si>
    <t>PO: 770300 Vendor: VWR INTL LLC Account: UA 1101935 Amount: 224.44 Pay Date: 09/17/2024</t>
  </si>
  <si>
    <t>28760364</t>
  </si>
  <si>
    <t>PO: 770348 Vendor: VWR INTL LLC Account: UA 1101935 Amount: 362.97 Pay Date: 09/17/2024</t>
  </si>
  <si>
    <t>28760473</t>
  </si>
  <si>
    <t>PO: 770348 Vendor: VWR INTL LLC Account: UA 1101935 Amount: 142.16 Pay Date: 09/17/2024</t>
  </si>
  <si>
    <t>28760533</t>
  </si>
  <si>
    <t>PO: 770298 Vendor: USA SCIENTIFIC INC Account: UA 1101935 Amount: 145.93 Pay Date: 09/17/2024</t>
  </si>
  <si>
    <t>28760648</t>
  </si>
  <si>
    <t>PO: 770348 Vendor: VWR INTL LLC Account: UA 1101935 Amount: 165.09 Pay Date: 09/17/2024</t>
  </si>
  <si>
    <t>28760741</t>
  </si>
  <si>
    <t>PO: 770155 Vendor: FISHER SCIENTIFIC COMPANY LLC Account: UA 1101935 Amount: 292.25 Pay Date: 09/17/2024</t>
  </si>
  <si>
    <t>28760791</t>
  </si>
  <si>
    <t>PO: 770348 Vendor: VWR INTL LLC Account: UA 1101935 Amount: 17.29 Pay Date: 09/17/2024</t>
  </si>
  <si>
    <t>28779813</t>
  </si>
  <si>
    <t>PO: 770300 Vendor: VWR INTL LLC Account: UA 1101935 Amount: 115.45 Pay Date: 09/17/2024</t>
  </si>
  <si>
    <t>28789770</t>
  </si>
  <si>
    <t>PO: 770155 Vendor: FISHER SCIENTIFIC COMPANY LLC Account: UA 1101935 Amount: 182.68 Pay Date: 09/21/2024</t>
  </si>
  <si>
    <t>28792640</t>
  </si>
  <si>
    <t>PO: 770300 Vendor: VWR INTL LLC Account: UA 1101935 Amount: 504.93 Pay Date: 09/17/2024</t>
  </si>
  <si>
    <t>28796530</t>
  </si>
  <si>
    <t>PO: 770299 Vendor: CHEMGLASS LIFE SCIENCES LLC Account: UA 1101935 Amount: 315.14 Pay Date: 09/17/2024</t>
  </si>
  <si>
    <t>28804569</t>
  </si>
  <si>
    <t>28760505</t>
  </si>
  <si>
    <t>PO: 770657 Vendor: SIGMA ALDRICH INC Account: UA 1101935 Amount: 308.20 Pay Date: 09/18/2024</t>
  </si>
  <si>
    <t>28817032</t>
  </si>
  <si>
    <t>PO: 770297 Vendor: RESEARCH PRODUCTS INTL CORP Amount: 178.43</t>
  </si>
  <si>
    <t>28819842</t>
  </si>
  <si>
    <t>28725675</t>
  </si>
  <si>
    <t>PO: 766593 Vendor: SIGMA ALDRICH INC Account: UA 1101935 Amount: 82.09 Pay Date: 09/14/2024</t>
  </si>
  <si>
    <t>28696849</t>
  </si>
  <si>
    <t>Prusa XL printer and accessories</t>
  </si>
  <si>
    <t>Procurement Card - 5745 / MCGHEE, ALEXANDER / 78751 / Prusa Research / $4336.30</t>
  </si>
  <si>
    <t>28711056</t>
  </si>
  <si>
    <t>Surface Laptop</t>
  </si>
  <si>
    <t>Procurement Card - Auto Approve 09/02/2024 12:47 AM / 80344 / AMAZON MKTPL RU00J4LN0 / $3678.79</t>
  </si>
  <si>
    <t>28711058</t>
  </si>
  <si>
    <t>Xbox controller Chargers</t>
  </si>
  <si>
    <t>Procurement Card - Auto Approve 09/02/2024 12:47 AM / 80287 / Amazon.com RU1I37FI1 / $168.64</t>
  </si>
  <si>
    <t>28774157</t>
  </si>
  <si>
    <t>Surface Pens</t>
  </si>
  <si>
    <t>Procurement Card - 5745 / MCGHEE, ALEXANDER / 83764 / AMAZON MKTPL R41HA0N91 / $358.56</t>
  </si>
  <si>
    <t>28802232</t>
  </si>
  <si>
    <t>Xbox controllers</t>
  </si>
  <si>
    <t>Procurement Card - 5745 / MCGHEE, ALEXANDER / 84809 / AMAZON MKTPL R42AQ2GY0 / $191.00</t>
  </si>
  <si>
    <t>28839929</t>
  </si>
  <si>
    <t>771932</t>
  </si>
  <si>
    <t>PO: 771932 Contract Manager: 99 Vendor: SIGMA ALDRICH INC Amount: 138.56</t>
  </si>
  <si>
    <t>28870362</t>
  </si>
  <si>
    <t>772490</t>
  </si>
  <si>
    <t>PO: 772490 Contract Manager: 99 Vendor: CHEMGLASS LIFE SCIENCES LLC Amount: 37.85</t>
  </si>
  <si>
    <t>28870377</t>
  </si>
  <si>
    <t>772491</t>
  </si>
  <si>
    <t>PO: 772491 Contract Manager: 99 Vendor: SIGMA ALDRICH INC Amount: 246.57</t>
  </si>
  <si>
    <t>28870392</t>
  </si>
  <si>
    <t>772492</t>
  </si>
  <si>
    <t>PO: 772492 Contract Manager: 99 Vendor: CELL CULTURE COLLECTIVE INC Amount: 190.38</t>
  </si>
  <si>
    <t>28870407</t>
  </si>
  <si>
    <t>772493</t>
  </si>
  <si>
    <t>PO: 772493 Contract Manager: 99 Vendor: FISHER SCIENTIFIC COMPANY LLC Amount: 240.66</t>
  </si>
  <si>
    <t>28870437</t>
  </si>
  <si>
    <t>772495</t>
  </si>
  <si>
    <t>PO: 772495 Contract Manager: 99 Vendor: VWR INTL LLC Amount: 377.58</t>
  </si>
  <si>
    <t>28870453</t>
  </si>
  <si>
    <t>772496</t>
  </si>
  <si>
    <t>LIFE SCIENCE PRODUCTS INC</t>
  </si>
  <si>
    <t>PO: 772496 Contract Manager: 99 Vendor: LIFE SCIENCE PRODUCTS INC Amount: 192.61</t>
  </si>
  <si>
    <t>28870470</t>
  </si>
  <si>
    <t>772497</t>
  </si>
  <si>
    <t>SARSTEDT INC</t>
  </si>
  <si>
    <t>PO: 772497 Contract Manager: 99 Vendor: SARSTEDT INC Amount: 153.34</t>
  </si>
  <si>
    <t>28870515</t>
  </si>
  <si>
    <t>772500</t>
  </si>
  <si>
    <t>PO: 772500 Contract Manager: 99 Vendor: VWR INTL LLC Amount: 48.33</t>
  </si>
  <si>
    <t>28870532</t>
  </si>
  <si>
    <t>772501</t>
  </si>
  <si>
    <t>PO: 772501 Contract Manager: 99 Vendor: SIGMA ALDRICH INC Amount: 129.93</t>
  </si>
  <si>
    <t>28870552</t>
  </si>
  <si>
    <t>772502</t>
  </si>
  <si>
    <t>PO: 772502 Contract Manager: 99 Vendor: FISHER SCIENTIFIC COMPANY LLC Amount: 1426.87</t>
  </si>
  <si>
    <t>28774156</t>
  </si>
  <si>
    <t>Stepper motor linear rail + promo</t>
  </si>
  <si>
    <t>Procurement Card - 5745 / MCGHEE, ALEXANDER / 84060 / AMAZON MKTPL R45562FW0 / $449.20</t>
  </si>
  <si>
    <t>28802233</t>
  </si>
  <si>
    <t>12V 3A power supply</t>
  </si>
  <si>
    <t>Procurement Card - 5745 / MCGHEE, ALEXANDER / 84994 / AMAZON MKTPL R45RY22R2 / $67.38</t>
  </si>
  <si>
    <t>28885801</t>
  </si>
  <si>
    <t>PO: 770155 Vendor: FISHER SCIENTIFIC COMPANY LLC Account: UA 1101935 Amount: 233.73 Pay Date: 10/02/2024</t>
  </si>
  <si>
    <t>28902479</t>
  </si>
  <si>
    <t>PO: 772493 Vendor: FISHER SCIENTIFIC COMPANY LLC Account: UA 1101935 Amount: 239.78 Pay Date: 10/05/2024</t>
  </si>
  <si>
    <t>28902544</t>
  </si>
  <si>
    <t>PO: 772502 Vendor: FISHER SCIENTIFIC COMPANY LLC Account: UA 1101935 Amount: 1067.06 Pay Date: 10/05/2024</t>
  </si>
  <si>
    <t>28911261</t>
  </si>
  <si>
    <t>28849948</t>
  </si>
  <si>
    <t>PO: 771932 Vendor: SIGMA ALDRICH INC Account: UA 1101935 Amount: 183.00 Pay Date: 09/29/2024</t>
  </si>
  <si>
    <t>28922127</t>
  </si>
  <si>
    <t>773204</t>
  </si>
  <si>
    <t>PO: 773204 Contract Manager: 99 Vendor: FISHER SCIENTIFIC COMPANY LLC Amount: 301.32</t>
  </si>
  <si>
    <t>28917782</t>
  </si>
  <si>
    <t>PO: 772497 Vendor: SARSTEDT INC Amount: 149.71</t>
  </si>
  <si>
    <t>28916024</t>
  </si>
  <si>
    <t>PO: 772502 Vendor: FISHER SCIENTIFIC COMPANY LLC Account: UA 1101935 Amount: 354.57 Pay Date: 10/06/2024</t>
  </si>
  <si>
    <t>28916499</t>
  </si>
  <si>
    <t>PO: 772495 Vendor: VWR INTL LLC Account: UA 1101935 Amount: 258.04 Pay Date: 10/06/2024</t>
  </si>
  <si>
    <t>28929290</t>
  </si>
  <si>
    <t>PO: 772496 Vendor: LIFE SCIENCE PRODUCTS INC Amount: 182.40</t>
  </si>
  <si>
    <t>28932003</t>
  </si>
  <si>
    <t>PO: 772492 Vendor: CELL CULTURE COLLECTIVE INC Amount: 180.28</t>
  </si>
  <si>
    <t>28928144</t>
  </si>
  <si>
    <t>PO: 773204 Vendor: FISHER SCIENTIFIC COMPANY LLC Account: UA 1101935 Amount: 253.48 Pay Date: 10/07/2024</t>
  </si>
  <si>
    <t>28929863</t>
  </si>
  <si>
    <t>PO: 772490 Vendor: CHEMGLASS LIFE SCIENCES LLC Account: UA 1101935 Amount: 35.84 Pay Date: 10/02/2024</t>
  </si>
  <si>
    <t>28971735</t>
  </si>
  <si>
    <t>28902880</t>
  </si>
  <si>
    <t>PO: 772501 Vendor: SIGMA ALDRICH INC Account: UA 1101935 Amount: 142.09 Pay Date: 10/03/2024</t>
  </si>
  <si>
    <t>28984439</t>
  </si>
  <si>
    <t>28916556</t>
  </si>
  <si>
    <t>PO: 772491 Vendor: SIGMA ALDRICH INC Account: UA 1101935 Amount: 282.00 Pay Date: 10/06/2024</t>
  </si>
  <si>
    <t>28990133</t>
  </si>
  <si>
    <t>PO: 772500 Vendor: VWR INTL LLC Account: UA 1101935 Amount: 47.89 Pay Date: 10/06/2024</t>
  </si>
  <si>
    <t>28995503</t>
  </si>
  <si>
    <t>PO: 772495 Vendor: VWR INTL LLC Account: UA 1101935 Amount: 74.70 Pay Date: 10/06/2024</t>
  </si>
  <si>
    <t>28955390</t>
  </si>
  <si>
    <t>3D printer filament for McGhee lab</t>
  </si>
  <si>
    <t>Procurement Card - Auto Approve 09/30/2024 12:47 AM / 94625 / AMAZON MARK F704J1053 / $71.91</t>
  </si>
  <si>
    <t>28982578</t>
  </si>
  <si>
    <t>3D printer Fillament</t>
  </si>
  <si>
    <t>Procurement Card - 5745 / MCGHEE, ALEXANDER / 95488 / AMAZON MARK 827XQ2LI3 / $46.15</t>
  </si>
  <si>
    <t>29112621</t>
  </si>
  <si>
    <t>776134</t>
  </si>
  <si>
    <t>PO: 776134 Contract Manager: 99 Vendor: FISHER SCIENTIFIC COMPANY LLC Amount: 157.10</t>
  </si>
  <si>
    <t>29136698</t>
  </si>
  <si>
    <t>PO: 776134 Vendor: FISHER SCIENTIFIC COMPANY LLC Account: UA 1101935 Amount: 156.52 Pay Date: 10/29/2024</t>
  </si>
  <si>
    <t>29153055</t>
  </si>
  <si>
    <t>776742</t>
  </si>
  <si>
    <t>PO: 776742 Contract Manager: 99 Vendor: VWR INTL LLC Amount: 197.60</t>
  </si>
  <si>
    <t>29153076</t>
  </si>
  <si>
    <t>776743</t>
  </si>
  <si>
    <t>PO: 776743 Contract Manager: 99 Vendor: SIGMA ALDRICH INC Amount: 388.40</t>
  </si>
  <si>
    <t>29153095</t>
  </si>
  <si>
    <t>776744</t>
  </si>
  <si>
    <t>PO: 776744 Contract Manager: 99 Vendor: CELL CULTURE COLLECTIVE INC Amount: 129.59</t>
  </si>
  <si>
    <t>29153110</t>
  </si>
  <si>
    <t>776745</t>
  </si>
  <si>
    <t>PO: 776745 Contract Manager: 99 Vendor: VWR INTL LLC Amount: 423.10</t>
  </si>
  <si>
    <t>29162218</t>
  </si>
  <si>
    <t>PO: 770300 Vendor: VWR INTL LLC Account: UA 1101935 Amount: 173.06 Pay Date: 11/02/2024</t>
  </si>
  <si>
    <t>29050047</t>
  </si>
  <si>
    <t>Vials</t>
  </si>
  <si>
    <t>Procurement Card - 5745 / MCGHEE, ALEXANDER / 99911 / AMAZON MKTPL GM8QN42L3 / $54.34</t>
  </si>
  <si>
    <t>29179668</t>
  </si>
  <si>
    <t>PO: 770148 Vendor: CELL CULTURE COLLECTIVE INC Amount: 621.54</t>
  </si>
  <si>
    <t>29180317</t>
  </si>
  <si>
    <t>PO: 770156 Vendor: CELL CULTURE COLLECTIVE INC Amount: 812.09</t>
  </si>
  <si>
    <t>29050045</t>
  </si>
  <si>
    <t>Amazon items</t>
  </si>
  <si>
    <t>Procurement Card - Auto Approve 10/10/2024 12:19 AM / 99807 / AMAZON MKTPL FD49A3AE3 / $133.89</t>
  </si>
  <si>
    <t>29061259</t>
  </si>
  <si>
    <t>needle sets</t>
  </si>
  <si>
    <t>Procurement Card - Auto Approve 10/11/2024 12:18 AM / 100165 / AMZN Mktp US W430D5XQ3 / $109.72</t>
  </si>
  <si>
    <t>29203641</t>
  </si>
  <si>
    <t>PO: 776744 Vendor: CELL CULTURE COLLECTIVE INC Amount: 133.36</t>
  </si>
  <si>
    <t>29222643</t>
  </si>
  <si>
    <t>29162571</t>
  </si>
  <si>
    <t>PO: 776743 Vendor: SIGMA ALDRICH INC Account: UA 1101935 Amount: 412.00 Pay Date: 11/02/2024</t>
  </si>
  <si>
    <t>29223421</t>
  </si>
  <si>
    <t>PO: 776745 Vendor: VWR INTL LLC Account: UA 1101935 Amount: 419.22 Pay Date: 11/03/2024</t>
  </si>
  <si>
    <t>29226192</t>
  </si>
  <si>
    <t>PO: 776742 Vendor: VWR INTL LLC Account: UA 1101935 Amount: 226.82 Pay Date: 11/02/2024</t>
  </si>
  <si>
    <t>29284943</t>
  </si>
  <si>
    <t>PO: 776742 Vendor: VWR INTL LLC Account: UA 1101935 Amount: 142.93 Pay Date: 11/09/2024</t>
  </si>
  <si>
    <t>29173180</t>
  </si>
  <si>
    <t>Arduinos and resistors for McGhee lab</t>
  </si>
  <si>
    <t>Procurement Card - Auto Approve 10/24/2024 12:18 AM / 107038 / AMAZON MKTPL 6468S3JJ3 / $136.93</t>
  </si>
  <si>
    <t>29205480</t>
  </si>
  <si>
    <t>Lab coats for students</t>
  </si>
  <si>
    <t>Procurement Card - 5745 / MCGHEE, ALEXANDER / 109432 / AMAZON RETA U81O68AG3 / $24.85</t>
  </si>
  <si>
    <t>Use Tax 5.600% on 24.85</t>
  </si>
  <si>
    <t>29205481</t>
  </si>
  <si>
    <t>Procurement Card - 5745 / MCGHEE, ALEXANDER / 109561 / AMAZON RETA 5D3X044D3 / $74.47</t>
  </si>
  <si>
    <t>Use Tax 5.600% on 74.47</t>
  </si>
  <si>
    <t>29232276</t>
  </si>
  <si>
    <t>Procurement Card - 5745 / MCGHEE, ALEXANDER / 110281 / AMAZON RETA 105I101T3 / $39.92</t>
  </si>
  <si>
    <t>Use Tax 5.600% on 39.92</t>
  </si>
  <si>
    <t>29243530</t>
  </si>
  <si>
    <t>Electronics kits to create lab equipment</t>
  </si>
  <si>
    <t>Procurement Card - 5745 / MCGHEE, ALEXANDER / 111506 / AMAZON MKTPL WZ6FW6KB3 / $98.00</t>
  </si>
  <si>
    <t>29243531</t>
  </si>
  <si>
    <t>Thermocouple and voltage regulators</t>
  </si>
  <si>
    <t>Procurement Card - 5745 / MCGHEE, ALEXANDER / 111421 / AMAZON MKTPL WN08F1XS3 / $47.81</t>
  </si>
  <si>
    <t>29332999</t>
  </si>
  <si>
    <t>779693</t>
  </si>
  <si>
    <t>PO: 779693 Contract Manager: 99 Vendor: FISHER SCIENTIFIC COMPANY LLC Amount: 349.49</t>
  </si>
  <si>
    <t>29333060</t>
  </si>
  <si>
    <t>779696</t>
  </si>
  <si>
    <t>PO: 779696 Contract Manager: 99 Vendor: VWR INTL LLC Amount: 309.63</t>
  </si>
  <si>
    <t>29371243</t>
  </si>
  <si>
    <t>PO: 779696 Vendor: VWR INTL LLC Account: UA 1101935 Amount: 306.80 Pay Date: 11/25/2024</t>
  </si>
  <si>
    <t>29268676</t>
  </si>
  <si>
    <t>Refund for thermocouple</t>
  </si>
  <si>
    <t>Procurement Card - Auto Approve 11/04/2024 12:47 AM / 113532 / AMAZON MKTPLACE PMTS / $-32.60</t>
  </si>
  <si>
    <t>29268677</t>
  </si>
  <si>
    <t>Refund for voltage regulators</t>
  </si>
  <si>
    <t>Procurement Card - Auto Approve 11/04/2024 12:47 AM / 113588 / AMAZON MKTPLACE PMTS / $-15.21</t>
  </si>
  <si>
    <t>29268678</t>
  </si>
  <si>
    <t>Handheld Microscope</t>
  </si>
  <si>
    <t>Procurement Card - Auto Approve 11/04/2024 12:47 AM / 113320 / AMAZON MKTPL S76PM4ML3 / $43.47</t>
  </si>
  <si>
    <t>29296413</t>
  </si>
  <si>
    <t>Refunds due to failed delivery</t>
  </si>
  <si>
    <t>Procurement Card - 5745 / MCGHEE, ALEXANDER / 115180 / AMAZON MARK BM2FQ9IO3 / $-16.58</t>
  </si>
  <si>
    <t>29296414</t>
  </si>
  <si>
    <t>Procurement Card - 5745 / MCGHEE, ALEXANDER / 114403 / AMAZON MARK BM2FQ9IO3 / $-23.92</t>
  </si>
  <si>
    <t>29296415</t>
  </si>
  <si>
    <t>Procurement Card - 5745 / MCGHEE, ALEXANDER / 115045 / AMAZON RETA U81O68AG3 / $-24.85</t>
  </si>
  <si>
    <t>29296416</t>
  </si>
  <si>
    <t>Procurement Card - 5745 / MCGHEE, ALEXANDER / 113972 / AMAZON RETA 5D3X044D3 / $-24.85</t>
  </si>
  <si>
    <t>29420383</t>
  </si>
  <si>
    <t>780973</t>
  </si>
  <si>
    <t>PO: 780973 Contract Manager: 99 Vendor: FISHER SCIENTIFIC COMPANY LLC Amount: 1065.05</t>
  </si>
  <si>
    <t>29441992</t>
  </si>
  <si>
    <t>781295</t>
  </si>
  <si>
    <t>PO: 781295 Contract Manager: 99 Vendor: LIFE TECHNOLOGIES CORP Amount: 2488.45</t>
  </si>
  <si>
    <t>29443961</t>
  </si>
  <si>
    <t>PO: 780973 Vendor: FISHER SCIENTIFIC COMPANY LLC Account: UA 1101935 Amount: 1061.15 Pay Date: 12/03/2024</t>
  </si>
  <si>
    <t>29453612</t>
  </si>
  <si>
    <t>PO: 781295 Vendor: LIFE TECHNOLOGIES CORP Amount: 1371.38</t>
  </si>
  <si>
    <t>29463458</t>
  </si>
  <si>
    <t>781598</t>
  </si>
  <si>
    <t>PO: 781598 Contract Manager: 99 Vendor: VWR INTL LLC Amount: 220.52</t>
  </si>
  <si>
    <t>29463479</t>
  </si>
  <si>
    <t>781599</t>
  </si>
  <si>
    <t>PO: 781599 Contract Manager: 99 Vendor: SIGMA ALDRICH INC Amount: 416.78</t>
  </si>
  <si>
    <t>29463576</t>
  </si>
  <si>
    <t>781605</t>
  </si>
  <si>
    <t>PO: 781605 Contract Manager: 99 Vendor: SIGMA ALDRICH INC Amount: 485.90</t>
  </si>
  <si>
    <t>29463594</t>
  </si>
  <si>
    <t>781606</t>
  </si>
  <si>
    <t>PO: 781606 Contract Manager: 99 Vendor: LIFE TECHNOLOGIES CORP Amount: 150.56</t>
  </si>
  <si>
    <t>29463614</t>
  </si>
  <si>
    <t>781607</t>
  </si>
  <si>
    <t>PO: 781607 Contract Manager: 99 Vendor: SIGMA ALDRICH INC Amount: 949.86</t>
  </si>
  <si>
    <t>29479806</t>
  </si>
  <si>
    <t>781919</t>
  </si>
  <si>
    <t>STAPLES CONTRACT AND COMMERCIAL INC</t>
  </si>
  <si>
    <t>PO: 781919 Contract Manager: 99 Vendor: STAPLES CONTRACT AND COMMERCIAL INC Amount: 831.28</t>
  </si>
  <si>
    <t>29472907</t>
  </si>
  <si>
    <t>PO: 781295 Vendor: LIFE TECHNOLOGIES CORP Amount: 612.89</t>
  </si>
  <si>
    <t>29472831</t>
  </si>
  <si>
    <t>PO: 779693 Vendor: FISHER SCIENTIFIC COMPANY LLC Account: UA 1101935 Amount: 348.21 Pay Date: 12/08/2024</t>
  </si>
  <si>
    <t>29494276</t>
  </si>
  <si>
    <t>782209</t>
  </si>
  <si>
    <t>PO: 782209 Contract Manager: 99 Vendor: SIGMA ALDRICH INC Amount: 318.96</t>
  </si>
  <si>
    <t>29483647</t>
  </si>
  <si>
    <t>PO: 781606 Vendor: LIFE TECHNOLOGIES CORP Amount: 202.42</t>
  </si>
  <si>
    <t>29483955</t>
  </si>
  <si>
    <t>PO: 781295 Vendor: LIFE TECHNOLOGIES CORP Amount: 572.94</t>
  </si>
  <si>
    <t>29495940</t>
  </si>
  <si>
    <t>PO: 781919 Vendor: STAPLES CONTRACT AND COMMERCIAL INC Account: UA 1101935 Amount: 400.59 Pay Date: 12/10/2024</t>
  </si>
  <si>
    <t>29496436</t>
  </si>
  <si>
    <t>PO: 781919 Vendor: STAPLES CONTRACT AND COMMERCIAL INC Account: UA 1101935 Amount: 10.44 Pay Date: 12/10/2024</t>
  </si>
  <si>
    <t>29522225</t>
  </si>
  <si>
    <t>PO: 781919 Vendor: STAPLES CONTRACT AND COMMERCIAL INC Account: UA 1101935 Amount: 417.92 Pay Date: 12/12/2024</t>
  </si>
  <si>
    <t>29536708</t>
  </si>
  <si>
    <t>29472553</t>
  </si>
  <si>
    <t>PO: 781599 Vendor: SIGMA ALDRICH INC Account: UA 1101935 Amount: 171.89 Pay Date: 12/08/2024</t>
  </si>
  <si>
    <t>29536719</t>
  </si>
  <si>
    <t>29472565</t>
  </si>
  <si>
    <t>PO: 781605 Vendor: SIGMA ALDRICH INC Account: UA 1101935 Amount: 145.13 Pay Date: 12/08/2024</t>
  </si>
  <si>
    <t>29545347</t>
  </si>
  <si>
    <t>29484108</t>
  </si>
  <si>
    <t>PO: 781607 Vendor: SIGMA ALDRICH INC Account: UA 1101935 Amount: 740.77 Pay Date: 12/09/2024</t>
  </si>
  <si>
    <t>29545502</t>
  </si>
  <si>
    <t>29483746</t>
  </si>
  <si>
    <t>PO: 781607 Vendor: SIGMA ALDRICH INC Account: UA 1101935 Amount: 47.22 Pay Date: 12/09/2024</t>
  </si>
  <si>
    <t>29548622</t>
  </si>
  <si>
    <t>29472951</t>
  </si>
  <si>
    <t>PO: 781599 Vendor: SIGMA ALDRICH INC Account: UA 1101935 Amount: 266.11 Pay Date: 12/08/2024</t>
  </si>
  <si>
    <t>29551031</t>
  </si>
  <si>
    <t>PO: 781605 Vendor: SIGMA ALDRICH INC Account: UA 1101935 Amount: 323.25 Pay Date: 12/09/2024</t>
  </si>
  <si>
    <t>29483535</t>
  </si>
  <si>
    <t>Growth factors for culture media</t>
  </si>
  <si>
    <t>Procurement Card - 5745 / MCGHEE, ALEXANDER / 126392 / PROSPEC-TANY TECHNOGENE L / $196.95</t>
  </si>
  <si>
    <t>Use Tax 5.600% on 145.00</t>
  </si>
  <si>
    <t>29495718</t>
  </si>
  <si>
    <t>Multiple reagents for cell culture</t>
  </si>
  <si>
    <t>Procurement Card - 5745 / MCGHEE, ALEXANDER / 126703 / R &amp; D SYSTEMS / $2003.00</t>
  </si>
  <si>
    <t>29560827</t>
  </si>
  <si>
    <t>783224</t>
  </si>
  <si>
    <t>PO: 783224 Contract Manager: 99 Vendor: FISHER SCIENTIFIC COMPANY LLC Amount: 360.03</t>
  </si>
  <si>
    <t>29560846</t>
  </si>
  <si>
    <t>783225</t>
  </si>
  <si>
    <t>PO: 783225 Contract Manager: 99 Vendor: FISHER SCIENTIFIC COMPANY LLC Amount: 87.38</t>
  </si>
  <si>
    <t>29579370</t>
  </si>
  <si>
    <t>783423</t>
  </si>
  <si>
    <t>PO: 783423 Contract Manager: 99 Vendor: SIGMA ALDRICH INC Amount: 1022.15</t>
  </si>
  <si>
    <t>29592389</t>
  </si>
  <si>
    <t>29535987</t>
  </si>
  <si>
    <t>PO: 766593 Vendor: SIGMA ALDRICH INC Account: UA 1101935 Amount: 358.71 Pay Date: 12/15/2024</t>
  </si>
  <si>
    <t>29592960</t>
  </si>
  <si>
    <t>29536222</t>
  </si>
  <si>
    <t>PO: 781607 Vendor: SIGMA ALDRICH INC Account: UA 1101935 Amount: 49.17 Pay Date: 12/15/2024</t>
  </si>
  <si>
    <t>29602131</t>
  </si>
  <si>
    <t>PO: 783224 Vendor: FISHER SCIENTIFIC COMPANY LLC Account: UA 1101935 Amount: 358.71 Pay Date: 12/22/2024</t>
  </si>
  <si>
    <t>29602767</t>
  </si>
  <si>
    <t>PO: 783225 Vendor: FISHER SCIENTIFIC COMPANY LLC Account: UA 1101935 Amount: 87.06 Pay Date: 12/21/2024</t>
  </si>
  <si>
    <t>29615214</t>
  </si>
  <si>
    <t>PO: 772495 Vendor: VWR INTL LLC Account: UA 1101935 Amount: 90.92 Pay Date: 12/21/2024</t>
  </si>
  <si>
    <t>29624205</t>
  </si>
  <si>
    <t>29590515</t>
  </si>
  <si>
    <t>PO: 783423 Vendor: SIGMA ALDRICH INC Account: UA 1101935 Amount: 959.90 Pay Date: 12/21/2024</t>
  </si>
  <si>
    <t>29765572</t>
  </si>
  <si>
    <t>PO: 781598 Vendor: VWR INTL LLC Account: UA 1101935 Amount: 218.50 Pay Date: 12/29/2024</t>
  </si>
  <si>
    <t>29698926</t>
  </si>
  <si>
    <t>Multiple supplies - Mcghee Lab</t>
  </si>
  <si>
    <t>Procurement Card - 5745 / MCGHEE, ALEXANDER / 138139 / AMAZON MKTPL ZR1MQ5R82 / $573.02</t>
  </si>
  <si>
    <t>29698927</t>
  </si>
  <si>
    <t>LED 10mm</t>
  </si>
  <si>
    <t>Procurement Card - 5745 / MCGHEE, ALEXANDER / 138734 / DKC DIGI KEY CORP / $16.84</t>
  </si>
  <si>
    <t>29698928</t>
  </si>
  <si>
    <t>Light panel and LED lights</t>
  </si>
  <si>
    <t>Procurement Card - 5745 / MCGHEE, ALEXANDER / 138240 / DKC DIGI KEY CORP / $55.86</t>
  </si>
  <si>
    <t>29698930</t>
  </si>
  <si>
    <t>Motor Drivers</t>
  </si>
  <si>
    <t>Procurement Card - 5745 / MCGHEE, ALEXANDER / 137814 / POLOLU CORPORATION / $53.60</t>
  </si>
  <si>
    <t>29854320</t>
  </si>
  <si>
    <t>29724689</t>
  </si>
  <si>
    <t>PO: 781607 Vendor: SIGMA ALDRICH INC Account: UA 1101935 Amount: 56.45 Pay Date: 01/09/2025</t>
  </si>
  <si>
    <t>29896521</t>
  </si>
  <si>
    <t>788137</t>
  </si>
  <si>
    <t>PO: 788137 Contract Manager: 99 Vendor: VWR INTL LLC Amount: 238.32</t>
  </si>
  <si>
    <t>29921136</t>
  </si>
  <si>
    <t>788630</t>
  </si>
  <si>
    <t>PO: 788630 Contract Manager: 99 Vendor: SIGMA ALDRICH INC Amount: 690.82</t>
  </si>
  <si>
    <t>29935946</t>
  </si>
  <si>
    <t>Polycarbonate plastic sheets</t>
  </si>
  <si>
    <t>Procurement Card - 5745 / MCGHEE, ALEXANDER / 152527 / AMAZON MKTPL ZD6JT99H1 / $451.95</t>
  </si>
  <si>
    <t>29954049</t>
  </si>
  <si>
    <t>PO: 788137 Vendor: VWR INTL LLC Account: UA 1101935 Amount: 145.20 Pay Date: 02/15/2025</t>
  </si>
  <si>
    <t>29937422</t>
  </si>
  <si>
    <t>Seives to create gels</t>
  </si>
  <si>
    <t>Procurement Card - 5745 / MCGHEE, ALEXANDER / 153181 / AMAZON MKTPL Z527Z04A1 / $47.06</t>
  </si>
  <si>
    <t>29963482</t>
  </si>
  <si>
    <t>Procurement Card - 5745 / MCGHEE, ALEXANDER / 154414 / AMAZON MKTPL Z582B95D1 / $41.90</t>
  </si>
  <si>
    <t>29963483</t>
  </si>
  <si>
    <t>Procurement Card - 5745 / MCGHEE, ALEXANDER / 154435 / AMAZON MKTPL ZG8DQ9J40 / $59.24</t>
  </si>
  <si>
    <t>30004573</t>
  </si>
  <si>
    <t>29936351</t>
  </si>
  <si>
    <t>PO: 788630 Vendor: SIGMA ALDRICH INC Account: UA 1101935 Amount: 656.20 Pay Date: 02/12/2025</t>
  </si>
  <si>
    <t>30020050</t>
  </si>
  <si>
    <t>790337</t>
  </si>
  <si>
    <t>PO: 790337 Contract Manager: 99 Vendor: VWR INTL LLC Amount: 1105.23</t>
  </si>
  <si>
    <t>30033763</t>
  </si>
  <si>
    <t>790577</t>
  </si>
  <si>
    <t>PO: 790577 Contract Manager: 99 Vendor: FISHER SCIENTIFIC COMPANY LLC Amount: 102.12</t>
  </si>
  <si>
    <t>30033794</t>
  </si>
  <si>
    <t>790579</t>
  </si>
  <si>
    <t>PO: 790579 Contract Manager: 99 Vendor: LIFE TECHNOLOGIES CORP Amount: 170.20</t>
  </si>
  <si>
    <t>30068209</t>
  </si>
  <si>
    <t>PO: 790579 Vendor: LIFE TECHNOLOGIES CORP Amount: 250.70</t>
  </si>
  <si>
    <t>30080728</t>
  </si>
  <si>
    <t>PO: 790577 Vendor: FISHER SCIENTIFIC COMPANY LLC Account: UA 1101935 Amount: 58.89 Pay Date: 03/01/2025</t>
  </si>
  <si>
    <t>29975104</t>
  </si>
  <si>
    <t>3d bioprinter supplies</t>
  </si>
  <si>
    <t>Procurement Card - 5745 / MCGHEE, ALEXANDER / 154797 / XOMETRY.COM / $2028.00</t>
  </si>
  <si>
    <t>Shipping for 3d printer supplies</t>
  </si>
  <si>
    <t>30117047</t>
  </si>
  <si>
    <t>PO: 770297 Vendor: RESEARCH PRODUCTS INTL CORP Amount: 186.75</t>
  </si>
  <si>
    <t>30105809</t>
  </si>
  <si>
    <t>PO: 790577 Vendor: FISHER SCIENTIFIC COMPANY LLC Account: UA 1101935 Amount: 42.85 Pay Date: 03/03/2025</t>
  </si>
  <si>
    <t>30162460</t>
  </si>
  <si>
    <t>PO: 790337 Vendor: VWR INTL LLC Account: UA 1101935 Amount: 852.06 Pay Date: 03/02/2025</t>
  </si>
  <si>
    <t>30025427</t>
  </si>
  <si>
    <t>Hygrogel granule supplies</t>
  </si>
  <si>
    <t>Procurement Card - 5745 / MCGHEE, ALEXANDER / 157884 / AMAZON MKTPL ZG2LX8621 / $94.18</t>
  </si>
  <si>
    <t>30025428</t>
  </si>
  <si>
    <t>Adaptors</t>
  </si>
  <si>
    <t>Procurement Card - 5745 / MCGHEE, ALEXANDER / 157934 / AMAZON MKTPL ZG74X9681 / $109.42</t>
  </si>
  <si>
    <t>30052290</t>
  </si>
  <si>
    <t>USB cables</t>
  </si>
  <si>
    <t>Procurement Card - 5745 / MCGHEE, ALEXANDER / 159129 / AMAZON MKTPL ZC4XH96U0 / $56.48</t>
  </si>
  <si>
    <t>30052293</t>
  </si>
  <si>
    <t>Lab supplies</t>
  </si>
  <si>
    <t>Procurement Card - 5745 / MCGHEE, ALEXANDER / 159586 / AMAZON MKTPL ZC36804A1 / $143.43</t>
  </si>
  <si>
    <t>30080135</t>
  </si>
  <si>
    <t>Microscopes</t>
  </si>
  <si>
    <t>Procurement Card - 5745 / MCGHEE, ALEXANDER / 161646 / AMAZON MKTPL Z70XS6OS0 / $39.73</t>
  </si>
  <si>
    <t>30080136</t>
  </si>
  <si>
    <t>Procurement Card - 5745 / MCGHEE, ALEXANDER / 160500 / AMAZON MKTPL ZC5Y67UW0 / $119.17</t>
  </si>
  <si>
    <t>30092272</t>
  </si>
  <si>
    <t>Glass disposal</t>
  </si>
  <si>
    <t>Procurement Card - 5745 / MCGHEE, ALEXANDER / 161901 / AMAZON MKTPL 6B8YZ4XT3 / $78.25</t>
  </si>
  <si>
    <t>30220024</t>
  </si>
  <si>
    <t>PO: 790337 Vendor: VWR INTL LLC Account: UA 1101935 Amount: 186.40 Pay Date: 03/05/2025</t>
  </si>
  <si>
    <t>30246520</t>
  </si>
  <si>
    <t>PO: 790337 Vendor: VWR INTL LLC Account: UA 1101935 Amount: 59.76 Pay Date: 03/01/2025</t>
  </si>
  <si>
    <t>30589631</t>
  </si>
  <si>
    <t>PO: 770300 Vendor: VWR INTL LLC Account: UA 1101935 Amount: 288.61 Pay Date: 04/26/2025</t>
  </si>
  <si>
    <t>30735803</t>
  </si>
  <si>
    <t>30665849</t>
  </si>
  <si>
    <t>PO: 782209 Vendor: SIGMA ALDRICH INC Account: UA 1101935 Amount: 315.36 Pay Date: 05/04/2025</t>
  </si>
  <si>
    <t>31220062</t>
  </si>
  <si>
    <t>808668</t>
  </si>
  <si>
    <t>PO: 808668 Contract Manager: 99 Vendor: STAPLES CONTRACT AND COMMERCIAL INC Amount: 39.57</t>
  </si>
  <si>
    <t>31240228</t>
  </si>
  <si>
    <t>01-30015941: Lab supplies</t>
  </si>
  <si>
    <t>General Error Correction - MCGHEE, ALEXANDER 5745</t>
  </si>
  <si>
    <t>31244553</t>
  </si>
  <si>
    <t>PO: 808668 Vendor: STAPLES CONTRACT AND COMMERCIAL INC Account: UA 1101935 Amount: 39.45 Pay Date: 07/06/2025</t>
  </si>
  <si>
    <t>31311392</t>
  </si>
  <si>
    <t>810089</t>
  </si>
  <si>
    <t>PO: 810089 Contract Manager: 99 Vendor: VWR INTL LLC Amount: 29.99</t>
  </si>
  <si>
    <t>31321941</t>
  </si>
  <si>
    <t>PO: 773204 Vendor: FISHER SCIENTIFIC COMPANY LLC Account: UA 1101935 Amount: 46.75 Pay Date: 07/13/2025</t>
  </si>
  <si>
    <t>31431242</t>
  </si>
  <si>
    <t>811823</t>
  </si>
  <si>
    <t>STORES STOCKROOM</t>
  </si>
  <si>
    <t>PO: 811823 Contract Manager: 99 Vendor: STORES STOCKROOM Amount: 22.26</t>
  </si>
  <si>
    <t>31507494</t>
  </si>
  <si>
    <t>31347571</t>
  </si>
  <si>
    <t>PO: 810089 Vendor: VWR INTL LLC Account: UA 1101935 Amount: 32.42 Pay Date: 07/16/2025</t>
  </si>
  <si>
    <t>01-28885555: various sized bolts</t>
  </si>
  <si>
    <t>01-28915581: Use Tax 5.600% on 510.61</t>
  </si>
  <si>
    <t>01-28915581: Vactrap XL</t>
  </si>
  <si>
    <t>01-28915582: plastic bins and bottles</t>
  </si>
  <si>
    <t>01-29395323: Multiple sensors</t>
  </si>
  <si>
    <t>01-30637466: Use Tax 5.600% on 2404.13</t>
  </si>
  <si>
    <t>28520287</t>
  </si>
  <si>
    <t>Procurement Card - Auto Approve 08/10/2024 12:17 AM / 68941 / DARWIN MICROFLUIDICS / $526.31</t>
  </si>
  <si>
    <t>28531583</t>
  </si>
  <si>
    <t>Filament boxes</t>
  </si>
  <si>
    <t>Procurement Card - Auto Approve 08/12/2024 12:47 AM / 70140 / WORLD PRECISION / $200.00</t>
  </si>
  <si>
    <t>28709699</t>
  </si>
  <si>
    <t>Sheppard Brackets</t>
  </si>
  <si>
    <t>Procurement Card - Auto Approve 09/01/2024 12:47 AM / 79843 / AMZN Mktp US RU8642JZ2 / $795.66</t>
  </si>
  <si>
    <t>29296412</t>
  </si>
  <si>
    <t>Procurement Card - 5745 / MCGHEE, ALEXANDER / 114684 / AMAZON RETA 5D3X044D3 / $-49.62</t>
  </si>
  <si>
    <t>29875984</t>
  </si>
  <si>
    <t>Multiple painting supplies</t>
  </si>
  <si>
    <t>Procurement Card - 5745 / MCGHEE, ALEXANDER / 149065 / THE HOME DEPOT #0486 / $58.86</t>
  </si>
  <si>
    <t>29901956</t>
  </si>
  <si>
    <t>Table legs are used to make a lab table</t>
  </si>
  <si>
    <t>Procurement Card - 5745 / MCGHEE, ALEXANDER / 150096 / AMAZON MKTPL ZD5RB63H1 / $72.27</t>
  </si>
  <si>
    <t>29912446</t>
  </si>
  <si>
    <t>Standoffs and rubber edge</t>
  </si>
  <si>
    <t>Procurement Card - 5745 / MCGHEE, ALEXANDER / 151018 / AMAZON MKTPL Z57DK2L30 / $95.62</t>
  </si>
  <si>
    <t>29989218</t>
  </si>
  <si>
    <t>Tool chests</t>
  </si>
  <si>
    <t>Procurement Card - 5745 / MCGHEE, ALEXANDER / 156276 / AMZN Mktp US ZC6EK06B2 / $1448.68</t>
  </si>
  <si>
    <t>30052291</t>
  </si>
  <si>
    <t>Trash cans</t>
  </si>
  <si>
    <t>Procurement Card - 5745 / MCGHEE, ALEXANDER / 159019 / AMZN Mktp US ZC3FP1680 / $387.06</t>
  </si>
  <si>
    <t>30997776</t>
  </si>
  <si>
    <t>Equipment Cart</t>
  </si>
  <si>
    <t>Procurement Card - 5745 / MCGHEE, ALEXANDER / 219664 / Amazon.com NW7883G52 / $137.46</t>
  </si>
  <si>
    <t>31009677</t>
  </si>
  <si>
    <t>Lab Safety Supplies</t>
  </si>
  <si>
    <t>Procurement Card - 5745 / MCGHEE, ALEXANDER / 219966 / AMAZON MKTPL NI58Q9HW1 / $364.05</t>
  </si>
  <si>
    <t>01-28915580: Eye protection and tape</t>
  </si>
  <si>
    <t>30296188</t>
  </si>
  <si>
    <t>APS 2025 Conference Registration</t>
  </si>
  <si>
    <t>Procurement Card - 5745 / MCGHEE, ALEXANDER / 172817 / AMERICAN PHYSICAL SOCI / $419.00</t>
  </si>
  <si>
    <t>01-28711057: Conference Registration ...</t>
  </si>
  <si>
    <t>Foreign transaction fees</t>
  </si>
  <si>
    <t>Foreign Fees</t>
  </si>
  <si>
    <t>Transaction fees for Growth factors</t>
  </si>
  <si>
    <t>01-28849510: Bank Fee Foreign</t>
  </si>
  <si>
    <t>28470597</t>
  </si>
  <si>
    <t>Annual Membership</t>
  </si>
  <si>
    <t>Procurement Card - 5745 / MCGHEE, ALEXANDER / 66274 / IN ACCOUNT BIOMEDICAL EN / $200.00</t>
  </si>
  <si>
    <t>28498298</t>
  </si>
  <si>
    <t>Abstract Fees</t>
  </si>
  <si>
    <t>Procurement Card - 5745 / MCGHEE, ALEXANDER / 67479 / BIOMEDICAL ENGINEERING SO / $65.00</t>
  </si>
  <si>
    <t>5540 Total</t>
  </si>
  <si>
    <t>Shipping Cost</t>
  </si>
  <si>
    <t>Shipping</t>
  </si>
  <si>
    <t>Shipping Costs for Growth factors</t>
  </si>
  <si>
    <t>Shipping Costs for Multiple reagents</t>
  </si>
  <si>
    <t>LED 10mm - shipping costs</t>
  </si>
  <si>
    <t>Light panel and LED lights - shipping</t>
  </si>
  <si>
    <t>Shipping Costs for Motor Drivers</t>
  </si>
  <si>
    <t>Dry Erase markers - shipping</t>
  </si>
  <si>
    <t>30053587</t>
  </si>
  <si>
    <t>Paperpile subscription</t>
  </si>
  <si>
    <t>Procurement Card - 5745 / MCGHEE, ALEXANDER / 159727 / PAPERPILE.COM / $15.60</t>
  </si>
  <si>
    <t>Use Tax 5.600% on 15.60</t>
  </si>
  <si>
    <t>5610 Total</t>
  </si>
  <si>
    <t>29173179</t>
  </si>
  <si>
    <t>TV for presentations in McGhee lab</t>
  </si>
  <si>
    <t>Procurement Card - Auto Approve 10/24/2024 12:18 AM / 107712 / AMAZON RETA 3L5FL8QZ3 / $421.75</t>
  </si>
  <si>
    <t>29546913</t>
  </si>
  <si>
    <t>Computer mount</t>
  </si>
  <si>
    <t>Procurement Card - Auto Approve 12/08/2024 12:47 AM / 129784 / AMZN Mktp US 3M8VC0VS3 / $76.08</t>
  </si>
  <si>
    <t>29559907</t>
  </si>
  <si>
    <t>cable management and tv wall mount</t>
  </si>
  <si>
    <t>Procurement Card - 5745 / MCGHEE, ALEXANDER / 130581 / AMAZON MKTPL PF0SR62P3 / $114.97</t>
  </si>
  <si>
    <t>29559908</t>
  </si>
  <si>
    <t>TV and cable managment</t>
  </si>
  <si>
    <t>Procurement Card - 5745 / MCGHEE, ALEXANDER / 130287 / AMAZON MKTPL 026TN6WT3 / $869.54</t>
  </si>
  <si>
    <t>29669156</t>
  </si>
  <si>
    <t>Displayport cables</t>
  </si>
  <si>
    <t>Procurement Card - 5745 / MCGHEE, ALEXANDER / 136512 / Amazon.com ZL1IO7U92 / $40.70</t>
  </si>
  <si>
    <t>29698929</t>
  </si>
  <si>
    <t>8k displayport cables</t>
  </si>
  <si>
    <t>Procurement Card - 5745 / MCGHEE, ALEXANDER / 138260 / AMAZON MKTPL ZL4QI7D61 / $102.66</t>
  </si>
  <si>
    <t>29852554</t>
  </si>
  <si>
    <t>USB-C to HDMI cables</t>
  </si>
  <si>
    <t>Procurement Card - 5745 / MCGHEE, ALEXANDER / 147526 / AMAZON MKTPL ZD7869RB2 / $18.28</t>
  </si>
  <si>
    <t>30052292</t>
  </si>
  <si>
    <t>Laptop for Mcghee lab</t>
  </si>
  <si>
    <t>Procurement Card - 5745 / MCGHEE, ALEXANDER / 159430 / AMAZON MKTPL ZC71J8H10 / $1520.71</t>
  </si>
  <si>
    <t>01-29173181: TV mount</t>
  </si>
  <si>
    <t>01-29173182: cable management</t>
  </si>
  <si>
    <t>01-30623897: USB3 Hub</t>
  </si>
  <si>
    <t>01-30623899: USB docking station</t>
  </si>
  <si>
    <t>01-30665061: Monitors and peripheral ...</t>
  </si>
  <si>
    <t>28552973</t>
  </si>
  <si>
    <t>PO: 753373 Vendor: FISHER SCIENTIFIC COMPANY LLC Account: UA 1101935 Amount: 483.20 Pay Date: 08/18/2024</t>
  </si>
  <si>
    <t>28357711</t>
  </si>
  <si>
    <t>Procurement Card - 5745 / MCGHEE, ALEXANDER / 60172 / PAPERPILE.COM / $106.66</t>
  </si>
  <si>
    <t>28357713</t>
  </si>
  <si>
    <t>Procurement Card - 5745 / MCGHEE, ALEXANDER / 60513 / PAPERPILE.COM / $35.88</t>
  </si>
  <si>
    <t>29166991</t>
  </si>
  <si>
    <t>3LLF</t>
  </si>
  <si>
    <t>Commemoration of accomplishments in UK</t>
  </si>
  <si>
    <t>Disbursement Voucher T - Travel Expense - Alexander McGhee - Travel Reimbursement [E:N]</t>
  </si>
  <si>
    <t>31362695</t>
  </si>
  <si>
    <t>Lyft rides, Mileage, Meals</t>
  </si>
  <si>
    <t>Disbursement Voucher T - Travel Expense - Alexander McGhee - Atlanta, GA [E:N]</t>
  </si>
  <si>
    <t>31258591</t>
  </si>
  <si>
    <t>01-30997778: Frontier flight (PHX-ATL...</t>
  </si>
  <si>
    <t>01-30997779: Southwest flight (ATL-PH...</t>
  </si>
  <si>
    <t>Crowne Plaza Atlanta (5/19 - 5/20)</t>
  </si>
  <si>
    <t>28553116</t>
  </si>
  <si>
    <t>PO: 753373 Vendor: FISHER SCIENTIFIC COMPANY LLC Account: UA 1101935 Amount: 7126.03 Pay Date: 08/19/2024</t>
  </si>
  <si>
    <t>28628090</t>
  </si>
  <si>
    <t>PO: 753373 Vendor: FISHER SCIENTIFIC COMPANY LLC Account: UA 1101935 Amount: 6283.20 Pay Date: 08/28/2024</t>
  </si>
  <si>
    <t>Declercq,Gabriel Leonard Galahad</t>
  </si>
  <si>
    <t>2004160</t>
  </si>
  <si>
    <t>Starman,Alia Rose</t>
  </si>
  <si>
    <t>2059830</t>
  </si>
  <si>
    <t>2120</t>
  </si>
  <si>
    <t>Graduate Assistants Tuition Remission ER</t>
  </si>
  <si>
    <t>2120 Total</t>
  </si>
  <si>
    <t>2061789</t>
  </si>
  <si>
    <t>5406011</t>
  </si>
  <si>
    <t>0360</t>
  </si>
  <si>
    <t>Gifts - U of A Foundation</t>
  </si>
  <si>
    <t>DI</t>
  </si>
  <si>
    <t>28029356</t>
  </si>
  <si>
    <t>TR060324</t>
  </si>
  <si>
    <t>20103408</t>
  </si>
  <si>
    <t>Distribution Of Income And Expense - Electronic Payment Claim</t>
  </si>
  <si>
    <t>0360 Total</t>
  </si>
  <si>
    <t>2176351</t>
  </si>
  <si>
    <t>4210</t>
  </si>
  <si>
    <t>Miscellaneous Research Services</t>
  </si>
  <si>
    <t>4690</t>
  </si>
  <si>
    <t>Rentals - Other</t>
  </si>
  <si>
    <t>IB</t>
  </si>
  <si>
    <t>20240820IL0</t>
  </si>
  <si>
    <t>AR</t>
  </si>
  <si>
    <t>C-4621745</t>
  </si>
  <si>
    <t>Alexander McGhee for PI Alexander McGhee</t>
  </si>
  <si>
    <t>20240828IL0</t>
  </si>
  <si>
    <t>CC</t>
  </si>
  <si>
    <t>M-4640808</t>
  </si>
  <si>
    <t>20240926IL0</t>
  </si>
  <si>
    <t>E-4699543</t>
  </si>
  <si>
    <t>Alia Rose Starman for PI Alexander McGhe</t>
  </si>
  <si>
    <t>20241022IL0</t>
  </si>
  <si>
    <t>C-4741506</t>
  </si>
  <si>
    <t>20241030IL0</t>
  </si>
  <si>
    <t>E-4763206</t>
  </si>
  <si>
    <t>20241126IL0</t>
  </si>
  <si>
    <t>B-4820552</t>
  </si>
  <si>
    <t>E-4821580</t>
  </si>
  <si>
    <t>20250220IL0</t>
  </si>
  <si>
    <t>C-4971584</t>
  </si>
  <si>
    <t>20250425IL0</t>
  </si>
  <si>
    <t>C-5096661</t>
  </si>
  <si>
    <t>20250428IL0</t>
  </si>
  <si>
    <t>E-5111826</t>
  </si>
  <si>
    <t>20250529IL0</t>
  </si>
  <si>
    <t>E-5177166</t>
  </si>
  <si>
    <t>20250618IL0</t>
  </si>
  <si>
    <t>C-5220325</t>
  </si>
  <si>
    <t>20250630IL0</t>
  </si>
  <si>
    <t>E-5237977</t>
  </si>
  <si>
    <t>E-5260022</t>
  </si>
  <si>
    <t>20250703IL0</t>
  </si>
  <si>
    <t>C-5269553</t>
  </si>
  <si>
    <t>4210 Total</t>
  </si>
  <si>
    <t>20240925IL0</t>
  </si>
  <si>
    <t>C-4688604</t>
  </si>
  <si>
    <t>20241118IL0</t>
  </si>
  <si>
    <t>C-4800990</t>
  </si>
  <si>
    <t>20250102IL0</t>
  </si>
  <si>
    <t>C-4857749</t>
  </si>
  <si>
    <t>20250123IL0</t>
  </si>
  <si>
    <t>C-4911040</t>
  </si>
  <si>
    <t>20250327IL0</t>
  </si>
  <si>
    <t>C-5032274</t>
  </si>
  <si>
    <t>20250519IL0</t>
  </si>
  <si>
    <t>C-5152019</t>
  </si>
  <si>
    <t>4690 Total</t>
  </si>
  <si>
    <t>INCOME</t>
  </si>
  <si>
    <t>30783481</t>
  </si>
  <si>
    <t>FM-20240926FM1: S5914/John Gaff/need ...</t>
  </si>
  <si>
    <t>General Error Correction - BME IDC - Main Account Clean Up</t>
  </si>
  <si>
    <t>FM-20241016FM1: S5914/John Gaff/need ...</t>
  </si>
  <si>
    <t>FM-20241219FM1: S5914/John Gaff/need ...</t>
  </si>
  <si>
    <t>28659256</t>
  </si>
  <si>
    <t>Delivery</t>
  </si>
  <si>
    <t>Procurement Card - 5745 / MCGHEE, ALEXANDER / 76752 / UPS E8K138BGNLD / $95.32</t>
  </si>
  <si>
    <t>28849510</t>
  </si>
  <si>
    <t>Aid for LaTex code</t>
  </si>
  <si>
    <t>Procurement Card - Auto Approve 09/19/2024 12:18 AM / 88921 / OVERLEAF SHARELATEX / $200.99</t>
  </si>
  <si>
    <t>Use Tax 5.600% on 199.00</t>
  </si>
  <si>
    <t>28915583</t>
  </si>
  <si>
    <t>Coding development</t>
  </si>
  <si>
    <t>Procurement Card - 5745 / MCGHEE, ALEXANDER / 91406 / GITHUB, INC. / $100.00</t>
  </si>
  <si>
    <t>GRAND TOTAL</t>
  </si>
  <si>
    <t>30637468</t>
  </si>
  <si>
    <t>WIFI Adapter</t>
  </si>
  <si>
    <t>Procurement Card - 5745 / MCGHEE, ALEXANDER / 195965 / Amazon.com 9V87N4HZ3 / $102.69</t>
  </si>
  <si>
    <t>29862492</t>
  </si>
  <si>
    <t>White Board</t>
  </si>
  <si>
    <t>Procurement Card - 5745 / MCGHEE, ALEXANDER / 147931 / Amazon.com ZD5950EW0 / $163.04</t>
  </si>
  <si>
    <t>28885555</t>
  </si>
  <si>
    <t>various sized bolts</t>
  </si>
  <si>
    <t>Procurement Card - Auto Approve 09/22/2024 12:47 AM / 89722 / AMAZON MKTPL ZT3TK73C1 / $19.50</t>
  </si>
  <si>
    <t>28915581</t>
  </si>
  <si>
    <t>Use Tax 5.600% on 510.61</t>
  </si>
  <si>
    <t>Procurement Card - 5745 / MCGHEE, ALEXANDER / 92241 / SOUTHERN LABWARE INC / $510.61</t>
  </si>
  <si>
    <t>Vactrap XL</t>
  </si>
  <si>
    <t>28915582</t>
  </si>
  <si>
    <t>plastic bins and bottles</t>
  </si>
  <si>
    <t>Procurement Card - 5745 / MCGHEE, ALEXANDER / 91805 / AMAZON MKTPL ZT0SA1X71 / $38.46</t>
  </si>
  <si>
    <t>29395323</t>
  </si>
  <si>
    <t>Multiple sensors</t>
  </si>
  <si>
    <t>Procurement Card - 5745 / MCGHEE, ALEXANDER / 121215 / DKC DIGI KEY CORP / $286.74</t>
  </si>
  <si>
    <t>30015941</t>
  </si>
  <si>
    <t>Procurement Card - 5745 / MCGHEE, ALEXANDER / 156750 / AMAZON MKTPL ZC8BE0IB2 / $65.16</t>
  </si>
  <si>
    <t>30015942</t>
  </si>
  <si>
    <t>Procurement Card - 5745 / MCGHEE, ALEXANDER / 157524 / STEMCULTURES / $797.20</t>
  </si>
  <si>
    <t>Use Tax 5.600% on 797.20</t>
  </si>
  <si>
    <t>30721084</t>
  </si>
  <si>
    <t>01-30015942: Lab supplies</t>
  </si>
  <si>
    <t>General Error Correction - Pcard 5745 Alex McGhee</t>
  </si>
  <si>
    <t>01-30015942: Use Tax 5.600% on 797.20</t>
  </si>
  <si>
    <t>30637466</t>
  </si>
  <si>
    <t>Auto Approve 04/22/2025 12:18 AM</t>
  </si>
  <si>
    <t>Procurement Card - Auto Approve 04/22/2025 12:18 AM / 196363 / BANGS LABORATORIES / $2404.13</t>
  </si>
  <si>
    <t>Use Tax 5.600% on 2404.13</t>
  </si>
  <si>
    <t>31099851</t>
  </si>
  <si>
    <t>01-30637466: Auto Approve 04/22/2025 ...</t>
  </si>
  <si>
    <t>28915580</t>
  </si>
  <si>
    <t>Eye protection and tape</t>
  </si>
  <si>
    <t>Procurement Card - 5745 / MCGHEE, ALEXANDER / 92195 / AMAZON MKTPL ZT24R49G2 / $67.55</t>
  </si>
  <si>
    <t>28711057</t>
  </si>
  <si>
    <t>Conference Registration Fee to BMES</t>
  </si>
  <si>
    <t>Procurement Card - 5745 / MCGHEE, ALEXANDER / 80474 / BIOMEDICAL ENGINEERING SO / $625.00</t>
  </si>
  <si>
    <t>Bank Fee Foreign</t>
  </si>
  <si>
    <t>29173181</t>
  </si>
  <si>
    <t>TV mount</t>
  </si>
  <si>
    <t>Procurement Card - 5745 / MCGHEE, ALEXANDER / 107222 / AMAZON RETA O962810D3 / $43.47</t>
  </si>
  <si>
    <t>29173182</t>
  </si>
  <si>
    <t>cable management</t>
  </si>
  <si>
    <t>Procurement Card - 5745 / MCGHEE, ALEXANDER / 107764 / AMAZON RETA 7G91K8SD3 / $21.73</t>
  </si>
  <si>
    <t>30623897</t>
  </si>
  <si>
    <t>USB3 Hub</t>
  </si>
  <si>
    <t>Procurement Card - 5745 / MCGHEE, ALEXANDER / 195697 / AMAZON MKTPL NE1WD2JM3 / $41.28</t>
  </si>
  <si>
    <t>30623899</t>
  </si>
  <si>
    <t>USB docking station</t>
  </si>
  <si>
    <t>Procurement Card - 5745 / MCGHEE, ALEXANDER / 195727 / AMAZON MKTPL CM0IZ4PC3 / $86.94</t>
  </si>
  <si>
    <t>30665061</t>
  </si>
  <si>
    <t>Monitors and peripheral devices</t>
  </si>
  <si>
    <t>Procurement Card - 5745 / MCGHEE, ALEXANDER / 197879 / Amazon.com 5N17C16Y3 / $3956.15</t>
  </si>
  <si>
    <t>28255254</t>
  </si>
  <si>
    <t>Disbursement Voucher T - Travel Expense - Alexander McGhee Vancouver WA [E:N]</t>
  </si>
  <si>
    <t>30997778</t>
  </si>
  <si>
    <t>Auto Approve 05/31/2025 12:22 AM</t>
  </si>
  <si>
    <t>Procurement Card - Auto Approve 05/31/2025 12:22 AM / 218665 / FRONTIER AI FGCJNT / $179.98</t>
  </si>
  <si>
    <t>30997779</t>
  </si>
  <si>
    <t>Procurement Card - Auto Approve 05/31/2025 12:22 AM / 219463 / SOUTHWES 5262343367185 / $264.49</t>
  </si>
  <si>
    <t>01-30997778: Auto Approve 05/31/2025 ...</t>
  </si>
  <si>
    <t>01-30997779: Auto Approve 05/31/2025 ...</t>
  </si>
  <si>
    <t>Lodging</t>
  </si>
  <si>
    <t>POA</t>
  </si>
  <si>
    <t>28757619</t>
  </si>
  <si>
    <t>PO: 749517 Contract Manager: 39 Vendor: NIKON INSTRUMENTS INC Amount: 562254.36</t>
  </si>
  <si>
    <t>29474828</t>
  </si>
  <si>
    <t>PO: 749517 Vendor: NIKON INSTRUMENTS INC Account: UA 2176300 BMEAM Amount: 23253.64 Pay Date: 11/13/2024</t>
  </si>
  <si>
    <t>28155297</t>
  </si>
  <si>
    <t>Wall mount for gas cylinders</t>
  </si>
  <si>
    <t>Procurement Card - 5745 / MCGHEE, ALEXANDER / 50424 / MCMASTER-CARR / $217.60</t>
  </si>
  <si>
    <t>shipping cost</t>
  </si>
  <si>
    <t>0930</t>
  </si>
  <si>
    <t>Voluntary Transfer In</t>
  </si>
  <si>
    <t>27123305</t>
  </si>
  <si>
    <t>2215510/2259000</t>
  </si>
  <si>
    <t>Transfer Of Funds - 2215510/2259000</t>
  </si>
  <si>
    <t>0930 Total</t>
  </si>
  <si>
    <t>0939</t>
  </si>
  <si>
    <t>Transfers In / Allocations</t>
  </si>
  <si>
    <t>YETF</t>
  </si>
  <si>
    <t>28358541</t>
  </si>
  <si>
    <t>MOVING TO SUB</t>
  </si>
  <si>
    <t>Year End Transfer Of Funds - CLEARING DEF. to subaccount BMEAM</t>
  </si>
  <si>
    <t>0939 Total</t>
  </si>
  <si>
    <t xml:space="preserve">Start Up Package </t>
  </si>
  <si>
    <t>Received</t>
  </si>
  <si>
    <t xml:space="preserve">Remaining </t>
  </si>
  <si>
    <t>FY26</t>
  </si>
  <si>
    <t>20250706200001</t>
  </si>
  <si>
    <t>20250716200001</t>
  </si>
  <si>
    <t>20250711100002</t>
  </si>
  <si>
    <t>20250723200001</t>
  </si>
  <si>
    <t>20250725100001</t>
  </si>
  <si>
    <t>20250806200001</t>
  </si>
  <si>
    <t>20250808100001</t>
  </si>
  <si>
    <t>20250820200001</t>
  </si>
  <si>
    <t>20250822100001</t>
  </si>
  <si>
    <t>20250820200000</t>
  </si>
  <si>
    <t>31803922</t>
  </si>
  <si>
    <t>Shipping Nikon Microscope Stage for repa</t>
  </si>
  <si>
    <t>Procurement Card - 5745 / MCGHEE, ALEXANDER / 260148 / THE UPS STORE 5220 / $868.34</t>
  </si>
  <si>
    <t>31683487</t>
  </si>
  <si>
    <t>Paperpile Software July 2025-July 2026</t>
  </si>
  <si>
    <t>Procurement Card - 5745 / MCGHEE, ALEXANDER / 254126 / PAPERPILE.COM / $179.40</t>
  </si>
  <si>
    <t>31549297</t>
  </si>
  <si>
    <t>813479</t>
  </si>
  <si>
    <t>PO: 813479 Contract Manager: 99 Vendor: VWR INTL LLC Amount: 89.97</t>
  </si>
  <si>
    <t>31665015</t>
  </si>
  <si>
    <t>31609346</t>
  </si>
  <si>
    <t>PO: 813479 Vendor: VWR INTL LLC Account: UA 1101935 Amount: 97.26 Pay Date: 08/12/2025</t>
  </si>
  <si>
    <t>31681612</t>
  </si>
  <si>
    <t>PO: 811823 Vendor: STORES STOCKROOM Account: UA 1101935 Amount: 22.26 Pay Date: 07/31/2025</t>
  </si>
  <si>
    <t>31671382</t>
  </si>
  <si>
    <t>Pololu-Research supplies for lab</t>
  </si>
  <si>
    <t>Procurement Card - 5745 / MCGHEE, ALEXANDER / 253493 / POLOLU CORPORATION / $179.19</t>
  </si>
  <si>
    <t>Procurement Card - 3480 / HALL, ANDREW / 1599607 / PAPA JOHNS #1679 / $117.00</t>
  </si>
  <si>
    <t>PO: 9629 Vendor: FEDEX KINKOS Amount: 256.48</t>
  </si>
  <si>
    <t>FEDEX KINKOS</t>
  </si>
  <si>
    <t>Edit VendorDetail - Add DBA</t>
  </si>
  <si>
    <t>31683486</t>
  </si>
  <si>
    <t>3D Printing Filament and LEDs</t>
  </si>
  <si>
    <t>Procurement Card - 5745 / MCGHEE, ALEXANDER / 254164 / AMAZON MKTPL TI8IY4753 / $233.85</t>
  </si>
  <si>
    <t>31683488</t>
  </si>
  <si>
    <t>Fans - Culture Cell Experiments</t>
  </si>
  <si>
    <t>Procurement Card - 5745 / MCGHEE, ALEXANDER / 254024 / AMAZON MKTPL VZ4EB8EZ3 / $10.34</t>
  </si>
  <si>
    <t>31685355</t>
  </si>
  <si>
    <t>Cell Culture Experiment-Research Supply</t>
  </si>
  <si>
    <t>Procurement Card - 5745 / MCGHEE, ALEXANDER / 255087 / AMAZON MKTPL LE73N8XP3 / $410.90</t>
  </si>
  <si>
    <t>31839338</t>
  </si>
  <si>
    <t>Components, motors for BME McGhee Lab</t>
  </si>
  <si>
    <t>Procurement Card - 5745 / MCGHEE, ALEXANDER / 261891 / AMAZON MKTPL LL0ZG3BQ3 / $44.56</t>
  </si>
  <si>
    <t>31839339</t>
  </si>
  <si>
    <t>Procurement Card - 5745 / MCGHEE, ALEXANDER / 261491 / AMAZON MKTPL 8K9449TH3 / $69.75</t>
  </si>
  <si>
    <t>31839340</t>
  </si>
  <si>
    <t>6x Micro Stepper Motors</t>
  </si>
  <si>
    <t>Procurement Card - 5745 / MCGHEE, ALEXANDER / 261447 / AMAZON MKTPL IH18O2263 / $110.02</t>
  </si>
  <si>
    <t>GT2 Timing Belt</t>
  </si>
  <si>
    <t>31852037</t>
  </si>
  <si>
    <t>Stepper motor, Linear Screw Nut Slider</t>
  </si>
  <si>
    <t>Procurement Card - 3230 / MCGHEE, ALEXANDER / 262552 / AMAZON MKTPL 3U6WX6II3 / $38.68</t>
  </si>
  <si>
    <t>31865411</t>
  </si>
  <si>
    <t>Procurement Card - 3230 / MCGHEE, ALEXANDER / 262743 / AMAZON MKTPL JP0QJ5ZC3 / $128.63</t>
  </si>
  <si>
    <t>31905311</t>
  </si>
  <si>
    <t>Stepper motors for McGheeLab BME</t>
  </si>
  <si>
    <t>Procurement Card - 3230 / MCGHEE, ALEXANDER / 265472 / AMAZON MKTPL 5504I62G3 / $205.84</t>
  </si>
  <si>
    <t>31467938</t>
  </si>
  <si>
    <t>67F9</t>
  </si>
  <si>
    <t>Mileage</t>
  </si>
  <si>
    <t>Disbursement Voucher T - Travel Expense - Alexander McGhee-Colorado [E:N]</t>
  </si>
  <si>
    <t>Hancock,Cason Montgomery</t>
  </si>
  <si>
    <t>2078743</t>
  </si>
  <si>
    <t>20250819IL0</t>
  </si>
  <si>
    <t>C-5346987</t>
  </si>
  <si>
    <t>AVAILABLE BALANCE</t>
  </si>
  <si>
    <t>Current Budget</t>
  </si>
  <si>
    <t>Inception to Date</t>
  </si>
  <si>
    <t>Open Encumbrances</t>
  </si>
  <si>
    <t>2176300-BMEAM</t>
  </si>
  <si>
    <t>2215510-BMEAM</t>
  </si>
  <si>
    <t>Organization Reference ID</t>
  </si>
  <si>
    <t>1664396</t>
  </si>
  <si>
    <t>FY26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</si>
</sst>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[$$]#,##0.00;\-[$$]#,##0.00"/>
  </numFmts>
  <fonts count="10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rgb="FF0000FF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999999"/>
      </patternFill>
    </fill>
    <fill>
      <patternFill patternType="solid">
        <fgColor rgb="FFF0F4FA"/>
      </patternFill>
    </fill>
    <fill>
      <patternFill patternType="solid">
        <fgColor rgb="FFCFE0F1"/>
      </patternFill>
    </fill>
    <fill>
      <patternFill patternType="solid">
        <fgColor rgb="FFCCCCCC"/>
      </patternFill>
    </fill>
    <fill>
      <patternFill patternType="solid">
        <fgColor rgb="FFADADAD"/>
      </patternFill>
    </fill>
    <fill>
      <patternFill patternType="solid">
        <fgColor rgb="FF66666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  <border>
      <left/>
      <right style="thin">
        <color rgb="FFEEEEEE"/>
      </right>
      <top/>
      <bottom style="thin">
        <color rgb="FFEEEEEE"/>
      </bottom>
      <diagonal/>
    </border>
    <border>
      <left style="thin">
        <color rgb="FFEEEEEE"/>
      </left>
      <right style="thin">
        <color rgb="FFEEEEEE"/>
      </right>
      <top/>
      <bottom/>
      <diagonal/>
    </border>
    <border>
      <left/>
      <right style="thin">
        <color rgb="FFEEEEEE"/>
      </right>
      <top/>
      <bottom/>
      <diagonal/>
    </border>
    <border>
      <left style="thin">
        <color rgb="FF979991"/>
      </left>
      <right/>
      <top/>
      <bottom/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/>
      <right/>
      <top/>
      <bottom style="thin">
        <color rgb="FFEEEEEE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/>
      <right/>
      <top/>
      <bottom style="thin">
        <color rgb="FF97999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EEEEEE"/>
      </left>
      <right/>
      <top style="thin">
        <color rgb="FFEEEEEE"/>
      </top>
      <bottom style="thin">
        <color rgb="FFEEEEEE"/>
      </bottom>
      <diagonal/>
    </border>
    <border>
      <left/>
      <right/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979991"/>
      </left>
      <right style="thin">
        <color rgb="FF979991"/>
      </right>
      <top/>
      <bottom/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168">
    <xf numFmtId="0" fontId="0" fillId="0" borderId="0" xfId="0"/>
    <xf numFmtId="0" fontId="2" fillId="0" borderId="0" xfId="0" applyFont="1"/>
    <xf numFmtId="0" fontId="2" fillId="2" borderId="6" xfId="0" applyFont="1" applyFill="1" applyBorder="1" applyAlignment="1">
      <alignment vertical="top"/>
    </xf>
    <xf numFmtId="0" fontId="2" fillId="2" borderId="5" xfId="0" applyFont="1" applyFill="1" applyBorder="1" applyAlignment="1">
      <alignment horizontal="left" vertical="top"/>
    </xf>
    <xf numFmtId="39" fontId="2" fillId="2" borderId="5" xfId="0" applyNumberFormat="1" applyFont="1" applyFill="1" applyBorder="1" applyAlignment="1">
      <alignment horizontal="right" vertical="top"/>
    </xf>
    <xf numFmtId="39" fontId="2" fillId="2" borderId="3" xfId="0" applyNumberFormat="1" applyFont="1" applyFill="1" applyBorder="1" applyAlignment="1">
      <alignment horizontal="right" vertical="top"/>
    </xf>
    <xf numFmtId="0" fontId="4" fillId="3" borderId="0" xfId="0" applyFont="1" applyFill="1" applyAlignment="1">
      <alignment vertical="top"/>
    </xf>
    <xf numFmtId="39" fontId="4" fillId="3" borderId="0" xfId="0" applyNumberFormat="1" applyFont="1" applyFill="1" applyAlignment="1">
      <alignment horizontal="right" vertical="top"/>
    </xf>
    <xf numFmtId="0" fontId="2" fillId="2" borderId="7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39" fontId="2" fillId="2" borderId="5" xfId="0" applyNumberFormat="1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5" fillId="4" borderId="0" xfId="0" applyFont="1" applyFill="1" applyAlignment="1">
      <alignment vertical="top"/>
    </xf>
    <xf numFmtId="39" fontId="5" fillId="4" borderId="0" xfId="0" applyNumberFormat="1" applyFont="1" applyFill="1" applyAlignment="1">
      <alignment horizontal="right" vertical="top"/>
    </xf>
    <xf numFmtId="0" fontId="6" fillId="11" borderId="1" xfId="0" applyFont="1" applyFill="1" applyBorder="1" applyAlignment="1">
      <alignment horizontal="left" vertical="top"/>
    </xf>
    <xf numFmtId="0" fontId="6" fillId="11" borderId="2" xfId="0" applyFont="1" applyFill="1" applyBorder="1" applyAlignment="1">
      <alignment horizontal="left" vertical="top"/>
    </xf>
    <xf numFmtId="0" fontId="6" fillId="11" borderId="3" xfId="0" applyFont="1" applyFill="1" applyBorder="1" applyAlignment="1">
      <alignment horizontal="left" vertical="top"/>
    </xf>
    <xf numFmtId="0" fontId="6" fillId="11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top"/>
    </xf>
    <xf numFmtId="39" fontId="2" fillId="2" borderId="11" xfId="0" applyNumberFormat="1" applyFont="1" applyFill="1" applyBorder="1" applyAlignment="1">
      <alignment horizontal="right" vertical="top"/>
    </xf>
    <xf numFmtId="39" fontId="2" fillId="2" borderId="11" xfId="0" applyNumberFormat="1" applyFont="1" applyFill="1" applyBorder="1" applyAlignment="1">
      <alignment vertical="top"/>
    </xf>
    <xf numFmtId="39" fontId="2" fillId="2" borderId="13" xfId="0" applyNumberFormat="1" applyFont="1" applyFill="1" applyBorder="1" applyAlignment="1">
      <alignment horizontal="right" vertical="top"/>
    </xf>
    <xf numFmtId="39" fontId="2" fillId="2" borderId="13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4" fontId="2" fillId="2" borderId="2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4" fontId="2" fillId="2" borderId="2" xfId="0" applyNumberFormat="1" applyFont="1" applyFill="1" applyBorder="1" applyAlignment="1">
      <alignment horizontal="right" vertical="top"/>
    </xf>
    <xf numFmtId="165" fontId="2" fillId="2" borderId="3" xfId="0" applyNumberFormat="1" applyFont="1" applyFill="1" applyBorder="1" applyAlignment="1">
      <alignment horizontal="right" vertical="top"/>
    </xf>
    <xf numFmtId="0" fontId="2" fillId="2" borderId="8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3" borderId="9" xfId="0" applyFont="1" applyFill="1" applyBorder="1" applyAlignment="1">
      <alignment vertical="top"/>
    </xf>
    <xf numFmtId="4" fontId="4" fillId="3" borderId="2" xfId="0" applyNumberFormat="1" applyFont="1" applyFill="1" applyBorder="1" applyAlignment="1">
      <alignment horizontal="right" vertical="top"/>
    </xf>
    <xf numFmtId="165" fontId="4" fillId="3" borderId="3" xfId="0" applyNumberFormat="1" applyFont="1" applyFill="1" applyBorder="1" applyAlignment="1">
      <alignment horizontal="right" vertical="top"/>
    </xf>
    <xf numFmtId="0" fontId="4" fillId="7" borderId="2" xfId="0" applyFont="1" applyFill="1" applyBorder="1" applyAlignment="1">
      <alignment vertical="top"/>
    </xf>
    <xf numFmtId="0" fontId="4" fillId="7" borderId="9" xfId="0" applyFont="1" applyFill="1" applyBorder="1" applyAlignment="1">
      <alignment vertical="top"/>
    </xf>
    <xf numFmtId="4" fontId="4" fillId="7" borderId="2" xfId="0" applyNumberFormat="1" applyFont="1" applyFill="1" applyBorder="1" applyAlignment="1">
      <alignment horizontal="right" vertical="top"/>
    </xf>
    <xf numFmtId="165" fontId="4" fillId="7" borderId="3" xfId="0" applyNumberFormat="1" applyFont="1" applyFill="1" applyBorder="1" applyAlignment="1">
      <alignment horizontal="right" vertical="top"/>
    </xf>
    <xf numFmtId="0" fontId="4" fillId="8" borderId="2" xfId="0" applyFont="1" applyFill="1" applyBorder="1" applyAlignment="1">
      <alignment vertical="top"/>
    </xf>
    <xf numFmtId="0" fontId="4" fillId="8" borderId="9" xfId="0" applyFont="1" applyFill="1" applyBorder="1" applyAlignment="1">
      <alignment vertical="top"/>
    </xf>
    <xf numFmtId="4" fontId="4" fillId="8" borderId="2" xfId="0" applyNumberFormat="1" applyFont="1" applyFill="1" applyBorder="1" applyAlignment="1">
      <alignment horizontal="right" vertical="top"/>
    </xf>
    <xf numFmtId="165" fontId="4" fillId="8" borderId="3" xfId="0" applyNumberFormat="1" applyFont="1" applyFill="1" applyBorder="1" applyAlignment="1">
      <alignment horizontal="right" vertical="top"/>
    </xf>
    <xf numFmtId="0" fontId="5" fillId="9" borderId="2" xfId="0" applyFont="1" applyFill="1" applyBorder="1" applyAlignment="1">
      <alignment vertical="top"/>
    </xf>
    <xf numFmtId="0" fontId="5" fillId="9" borderId="9" xfId="0" applyFont="1" applyFill="1" applyBorder="1" applyAlignment="1">
      <alignment vertical="top"/>
    </xf>
    <xf numFmtId="4" fontId="5" fillId="9" borderId="2" xfId="0" applyNumberFormat="1" applyFont="1" applyFill="1" applyBorder="1" applyAlignment="1">
      <alignment horizontal="right" vertical="top"/>
    </xf>
    <xf numFmtId="165" fontId="5" fillId="9" borderId="3" xfId="0" applyNumberFormat="1" applyFont="1" applyFill="1" applyBorder="1" applyAlignment="1">
      <alignment horizontal="right" vertical="top"/>
    </xf>
    <xf numFmtId="0" fontId="6" fillId="11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6" fillId="11" borderId="0" xfId="0" applyFont="1" applyFill="1" applyAlignment="1">
      <alignment horizontal="center" vertical="top"/>
    </xf>
    <xf numFmtId="0" fontId="2" fillId="5" borderId="2" xfId="0" applyFont="1" applyFill="1" applyBorder="1" applyAlignment="1">
      <alignment horizontal="left" vertical="top"/>
    </xf>
    <xf numFmtId="39" fontId="2" fillId="2" borderId="2" xfId="0" applyNumberFormat="1" applyFont="1" applyFill="1" applyBorder="1" applyAlignment="1">
      <alignment horizontal="right" vertical="top"/>
    </xf>
    <xf numFmtId="0" fontId="4" fillId="6" borderId="2" xfId="0" applyFont="1" applyFill="1" applyBorder="1" applyAlignment="1">
      <alignment vertical="top"/>
    </xf>
    <xf numFmtId="0" fontId="4" fillId="6" borderId="9" xfId="0" applyFont="1" applyFill="1" applyBorder="1" applyAlignment="1">
      <alignment vertical="top"/>
    </xf>
    <xf numFmtId="39" fontId="4" fillId="6" borderId="2" xfId="0" applyNumberFormat="1" applyFont="1" applyFill="1" applyBorder="1" applyAlignment="1">
      <alignment horizontal="right" vertical="top"/>
    </xf>
    <xf numFmtId="39" fontId="4" fillId="6" borderId="3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vertical="top"/>
    </xf>
    <xf numFmtId="164" fontId="2" fillId="2" borderId="10" xfId="0" applyNumberFormat="1" applyFont="1" applyFill="1" applyBorder="1" applyAlignment="1">
      <alignment vertical="top"/>
    </xf>
    <xf numFmtId="0" fontId="7" fillId="2" borderId="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/>
    </xf>
    <xf numFmtId="164" fontId="2" fillId="2" borderId="8" xfId="0" applyNumberFormat="1" applyFont="1" applyFill="1" applyBorder="1" applyAlignment="1">
      <alignment vertical="top"/>
    </xf>
    <xf numFmtId="0" fontId="7" fillId="2" borderId="10" xfId="0" applyFont="1" applyFill="1" applyBorder="1" applyAlignment="1">
      <alignment vertical="top"/>
    </xf>
    <xf numFmtId="0" fontId="2" fillId="2" borderId="12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4" fillId="6" borderId="9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164" fontId="2" fillId="2" borderId="10" xfId="0" applyNumberFormat="1" applyFont="1" applyFill="1" applyBorder="1" applyAlignment="1">
      <alignment horizontal="left" vertical="top"/>
    </xf>
    <xf numFmtId="164" fontId="2" fillId="2" borderId="8" xfId="0" applyNumberFormat="1" applyFont="1" applyFill="1" applyBorder="1" applyAlignment="1">
      <alignment horizontal="left" vertical="top"/>
    </xf>
    <xf numFmtId="0" fontId="6" fillId="11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44" fontId="0" fillId="0" borderId="0" xfId="2" applyFont="1" applyAlignment="1">
      <alignment horizontal="center"/>
    </xf>
    <xf numFmtId="44" fontId="4" fillId="0" borderId="0" xfId="2" applyFont="1" applyFill="1" applyAlignment="1"/>
    <xf numFmtId="43" fontId="0" fillId="0" borderId="15" xfId="1" applyFont="1" applyBorder="1"/>
    <xf numFmtId="0" fontId="0" fillId="0" borderId="14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6" fillId="11" borderId="0" xfId="0" applyFont="1" applyFill="1" applyAlignment="1">
      <alignment horizontal="center"/>
    </xf>
    <xf numFmtId="44" fontId="4" fillId="0" borderId="0" xfId="2" applyFont="1"/>
    <xf numFmtId="0" fontId="2" fillId="2" borderId="6" xfId="0" applyFont="1" applyFill="1" applyBorder="1" applyAlignment="1">
      <alignment horizontal="left" vertical="top"/>
    </xf>
    <xf numFmtId="39" fontId="2" fillId="2" borderId="16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vertical="top"/>
    </xf>
    <xf numFmtId="164" fontId="2" fillId="2" borderId="2" xfId="0" applyNumberFormat="1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44" fontId="0" fillId="0" borderId="0" xfId="0" applyNumberFormat="1"/>
    <xf numFmtId="44" fontId="0" fillId="0" borderId="0" xfId="2" applyFont="1"/>
    <xf numFmtId="0" fontId="9" fillId="0" borderId="0" xfId="0" applyFont="1"/>
    <xf numFmtId="43" fontId="0" fillId="0" borderId="20" xfId="1" applyFont="1" applyBorder="1"/>
    <xf numFmtId="0" fontId="6" fillId="11" borderId="2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39" fontId="2" fillId="0" borderId="0" xfId="0" applyNumberFormat="1" applyFont="1" applyAlignment="1">
      <alignment horizontal="right" vertical="top"/>
    </xf>
    <xf numFmtId="39" fontId="4" fillId="0" borderId="0" xfId="0" applyNumberFormat="1" applyFont="1" applyAlignment="1">
      <alignment horizontal="right" vertical="top"/>
    </xf>
    <xf numFmtId="39" fontId="5" fillId="0" borderId="0" xfId="0" applyNumberFormat="1" applyFont="1" applyAlignment="1">
      <alignment horizontal="right" vertical="top"/>
    </xf>
    <xf numFmtId="0" fontId="3" fillId="0" borderId="18" xfId="0" applyFont="1" applyBorder="1" applyAlignment="1">
      <alignment horizontal="center"/>
    </xf>
    <xf numFmtId="43" fontId="0" fillId="0" borderId="23" xfId="1" applyFont="1" applyBorder="1"/>
    <xf numFmtId="43" fontId="0" fillId="0" borderId="22" xfId="1" applyFont="1" applyBorder="1"/>
    <xf numFmtId="44" fontId="4" fillId="12" borderId="0" xfId="2" applyFont="1" applyFill="1"/>
    <xf numFmtId="44" fontId="4" fillId="0" borderId="19" xfId="0" applyNumberFormat="1" applyFont="1" applyBorder="1"/>
    <xf numFmtId="43" fontId="0" fillId="0" borderId="0" xfId="1" applyFont="1"/>
    <xf numFmtId="0" fontId="4" fillId="11" borderId="17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2" fontId="2" fillId="2" borderId="17" xfId="0" applyNumberFormat="1" applyFont="1" applyFill="1" applyBorder="1" applyAlignment="1">
      <alignment horizontal="right" vertical="top" wrapText="1"/>
    </xf>
    <xf numFmtId="39" fontId="2" fillId="2" borderId="17" xfId="0" applyNumberFormat="1" applyFont="1" applyFill="1" applyBorder="1" applyAlignment="1">
      <alignment horizontal="right" vertical="top" wrapText="1"/>
    </xf>
    <xf numFmtId="2" fontId="4" fillId="3" borderId="17" xfId="0" applyNumberFormat="1" applyFont="1" applyFill="1" applyBorder="1" applyAlignment="1">
      <alignment horizontal="right" vertical="top" wrapText="1"/>
    </xf>
    <xf numFmtId="39" fontId="4" fillId="3" borderId="17" xfId="0" applyNumberFormat="1" applyFont="1" applyFill="1" applyBorder="1" applyAlignment="1">
      <alignment horizontal="right" vertical="top" wrapText="1"/>
    </xf>
    <xf numFmtId="2" fontId="5" fillId="4" borderId="17" xfId="0" applyNumberFormat="1" applyFont="1" applyFill="1" applyBorder="1" applyAlignment="1">
      <alignment horizontal="right" vertical="top" wrapText="1"/>
    </xf>
    <xf numFmtId="39" fontId="5" fillId="4" borderId="17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2" fontId="4" fillId="3" borderId="26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39" fontId="2" fillId="2" borderId="2" xfId="0" applyNumberFormat="1" applyFont="1" applyFill="1" applyBorder="1" applyAlignment="1">
      <alignment horizontal="right" vertical="top" wrapText="1"/>
    </xf>
    <xf numFmtId="39" fontId="2" fillId="2" borderId="3" xfId="0" applyNumberFormat="1" applyFont="1" applyFill="1" applyBorder="1" applyAlignment="1">
      <alignment horizontal="right" vertical="top" wrapText="1"/>
    </xf>
    <xf numFmtId="39" fontId="4" fillId="6" borderId="2" xfId="0" applyNumberFormat="1" applyFont="1" applyFill="1" applyBorder="1" applyAlignment="1">
      <alignment horizontal="right" vertical="top" wrapText="1"/>
    </xf>
    <xf numFmtId="39" fontId="4" fillId="6" borderId="3" xfId="0" applyNumberFormat="1" applyFont="1" applyFill="1" applyBorder="1" applyAlignment="1">
      <alignment horizontal="righ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4" fillId="11" borderId="3" xfId="0" applyFont="1" applyFill="1" applyBorder="1" applyAlignment="1">
      <alignment horizontal="left" vertical="top" wrapText="1"/>
    </xf>
    <xf numFmtId="0" fontId="2" fillId="2" borderId="2" xfId="3" applyFill="1" applyBorder="1" applyAlignment="1">
      <alignment horizontal="left" vertical="top" wrapText="1"/>
    </xf>
    <xf numFmtId="164" fontId="2" fillId="2" borderId="2" xfId="3" applyNumberFormat="1" applyFill="1" applyBorder="1" applyAlignment="1">
      <alignment horizontal="left" vertical="top" wrapText="1"/>
    </xf>
    <xf numFmtId="0" fontId="7" fillId="2" borderId="2" xfId="3" applyFont="1" applyFill="1" applyBorder="1" applyAlignment="1">
      <alignment horizontal="left" vertical="top" wrapText="1"/>
    </xf>
    <xf numFmtId="0" fontId="2" fillId="5" borderId="2" xfId="3" applyFill="1" applyBorder="1" applyAlignment="1">
      <alignment horizontal="left" vertical="top" wrapText="1"/>
    </xf>
    <xf numFmtId="39" fontId="2" fillId="2" borderId="2" xfId="3" applyNumberFormat="1" applyFill="1" applyBorder="1" applyAlignment="1">
      <alignment horizontal="right" vertical="top" wrapText="1"/>
    </xf>
    <xf numFmtId="39" fontId="2" fillId="2" borderId="2" xfId="3" applyNumberFormat="1" applyFill="1" applyBorder="1" applyAlignment="1">
      <alignment horizontal="right" vertical="top"/>
    </xf>
    <xf numFmtId="39" fontId="2" fillId="2" borderId="3" xfId="3" applyNumberFormat="1" applyFill="1" applyBorder="1" applyAlignment="1">
      <alignment horizontal="right" vertical="top" wrapText="1"/>
    </xf>
    <xf numFmtId="39" fontId="4" fillId="6" borderId="2" xfId="3" applyNumberFormat="1" applyFont="1" applyFill="1" applyBorder="1" applyAlignment="1">
      <alignment horizontal="right" vertical="top" wrapText="1"/>
    </xf>
    <xf numFmtId="39" fontId="4" fillId="6" borderId="3" xfId="3" applyNumberFormat="1" applyFont="1" applyFill="1" applyBorder="1" applyAlignment="1">
      <alignment horizontal="right" vertical="top" wrapText="1"/>
    </xf>
    <xf numFmtId="0" fontId="4" fillId="11" borderId="1" xfId="3" applyFont="1" applyFill="1" applyBorder="1" applyAlignment="1">
      <alignment horizontal="left" vertical="top" wrapText="1"/>
    </xf>
    <xf numFmtId="0" fontId="4" fillId="11" borderId="2" xfId="3" applyFont="1" applyFill="1" applyBorder="1" applyAlignment="1">
      <alignment horizontal="left" vertical="top" wrapText="1"/>
    </xf>
    <xf numFmtId="0" fontId="4" fillId="11" borderId="3" xfId="3" applyFont="1" applyFill="1" applyBorder="1" applyAlignment="1">
      <alignment horizontal="left" vertical="top" wrapText="1"/>
    </xf>
    <xf numFmtId="0" fontId="3" fillId="10" borderId="0" xfId="0" applyFont="1" applyFill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2" borderId="17" xfId="0" applyFont="1" applyFill="1" applyBorder="1" applyAlignment="1">
      <alignment horizontal="left" vertical="top" wrapText="1"/>
    </xf>
    <xf numFmtId="0" fontId="4" fillId="3" borderId="24" xfId="0" applyFont="1" applyFill="1" applyBorder="1" applyAlignment="1">
      <alignment horizontal="left" vertical="top" wrapText="1"/>
    </xf>
    <xf numFmtId="0" fontId="4" fillId="3" borderId="25" xfId="0" applyFont="1" applyFill="1" applyBorder="1" applyAlignment="1">
      <alignment horizontal="left" vertical="top" wrapText="1"/>
    </xf>
    <xf numFmtId="0" fontId="4" fillId="3" borderId="26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64" fontId="2" fillId="2" borderId="10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/>
    </xf>
    <xf numFmtId="164" fontId="2" fillId="2" borderId="8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left" vertical="top" wrapText="1"/>
    </xf>
    <xf numFmtId="0" fontId="2" fillId="2" borderId="27" xfId="0" applyFont="1" applyFill="1" applyBorder="1" applyAlignment="1">
      <alignment horizontal="left" vertical="top" wrapText="1"/>
    </xf>
    <xf numFmtId="0" fontId="2" fillId="2" borderId="28" xfId="0" applyFont="1" applyFill="1" applyBorder="1" applyAlignment="1">
      <alignment horizontal="left" vertical="top" wrapText="1"/>
    </xf>
    <xf numFmtId="0" fontId="4" fillId="6" borderId="2" xfId="3" applyFont="1" applyFill="1" applyBorder="1" applyAlignment="1">
      <alignment horizontal="left" vertical="top" wrapText="1"/>
    </xf>
    <xf numFmtId="0" fontId="4" fillId="6" borderId="9" xfId="3" applyFont="1" applyFill="1" applyBorder="1" applyAlignment="1">
      <alignment horizontal="left" vertical="top" wrapText="1"/>
    </xf>
    <xf numFmtId="0" fontId="2" fillId="2" borderId="1" xfId="3" applyFill="1" applyBorder="1" applyAlignment="1">
      <alignment horizontal="left" vertical="top" wrapText="1"/>
    </xf>
    <xf numFmtId="0" fontId="2" fillId="2" borderId="10" xfId="3" applyFill="1" applyBorder="1" applyAlignment="1">
      <alignment horizontal="left" vertical="top" wrapText="1"/>
    </xf>
    <xf numFmtId="43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Normal 2" xfId="3" xr:uid="{5FE06A59-8C27-4947-947B-D95D859A8C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ice-financials.uaccess.arizona.edu/rice/kew/DocHandler.do?command=displayDocSearchView&amp;docId=27618811" TargetMode="External"/><Relationship Id="rId21" Type="http://schemas.openxmlformats.org/officeDocument/2006/relationships/hyperlink" Target="https://rice-financials.uaccess.arizona.edu/rice/kew/DocHandler.do?command=displayDocSearchView&amp;docId=27611297" TargetMode="External"/><Relationship Id="rId42" Type="http://schemas.openxmlformats.org/officeDocument/2006/relationships/hyperlink" Target="https://rice-financials.uaccess.arizona.edu/rice/kew/DocHandler.do?command=displayDocSearchView&amp;docId=27617327" TargetMode="External"/><Relationship Id="rId47" Type="http://schemas.openxmlformats.org/officeDocument/2006/relationships/hyperlink" Target="https://rice-financials.uaccess.arizona.edu/rice/kew/DocHandler.do?command=displayDocSearchView&amp;docId=26952735" TargetMode="External"/><Relationship Id="rId63" Type="http://schemas.openxmlformats.org/officeDocument/2006/relationships/hyperlink" Target="https://rice-financials.uaccess.arizona.edu/rice/kew/DocHandler.do?command=displayDocSearchView&amp;docId=26912772" TargetMode="External"/><Relationship Id="rId68" Type="http://schemas.openxmlformats.org/officeDocument/2006/relationships/hyperlink" Target="https://rice-financials.uaccess.arizona.edu/rice/kew/DocHandler.do?command=displayDocSearchView&amp;docId=27829653" TargetMode="External"/><Relationship Id="rId84" Type="http://schemas.openxmlformats.org/officeDocument/2006/relationships/hyperlink" Target="https://rice-financials.uaccess.arizona.edu/rice/kew/DocHandler.do?command=displayDocSearchView&amp;docId=27155406" TargetMode="External"/><Relationship Id="rId89" Type="http://schemas.openxmlformats.org/officeDocument/2006/relationships/hyperlink" Target="https://rice-financials.uaccess.arizona.edu/rice/kew/DocHandler.do?command=displayDocSearchView&amp;docId=27221074" TargetMode="External"/><Relationship Id="rId16" Type="http://schemas.openxmlformats.org/officeDocument/2006/relationships/hyperlink" Target="https://rice-financials.uaccess.arizona.edu/rice/kew/DocHandler.do?command=displayDocSearchView&amp;docId=28152614" TargetMode="External"/><Relationship Id="rId11" Type="http://schemas.openxmlformats.org/officeDocument/2006/relationships/hyperlink" Target="https://rice-financials.uaccess.arizona.edu/rice/kew/DocHandler.do?command=displayDocSearchView&amp;docId=27400501" TargetMode="External"/><Relationship Id="rId32" Type="http://schemas.openxmlformats.org/officeDocument/2006/relationships/hyperlink" Target="https://rice-financials.uaccess.arizona.edu/rice/kew/DocHandler.do?command=displayDocSearchView&amp;docId=27222751" TargetMode="External"/><Relationship Id="rId37" Type="http://schemas.openxmlformats.org/officeDocument/2006/relationships/hyperlink" Target="https://rice-financials.uaccess.arizona.edu/rice/kew/DocHandler.do?command=displayDocSearchView&amp;docId=28048840" TargetMode="External"/><Relationship Id="rId53" Type="http://schemas.openxmlformats.org/officeDocument/2006/relationships/hyperlink" Target="https://rice-financials.uaccess.arizona.edu/rice/kew/DocHandler.do?command=displayDocSearchView&amp;docId=27951933" TargetMode="External"/><Relationship Id="rId58" Type="http://schemas.openxmlformats.org/officeDocument/2006/relationships/hyperlink" Target="https://rice-financials.uaccess.arizona.edu/rice/kew/DocHandler.do?command=displayDocSearchView&amp;docId=27932996" TargetMode="External"/><Relationship Id="rId74" Type="http://schemas.openxmlformats.org/officeDocument/2006/relationships/hyperlink" Target="https://rice-financials.uaccess.arizona.edu/rice/kew/DocHandler.do?command=displayDocSearchView&amp;docId=27380724" TargetMode="External"/><Relationship Id="rId79" Type="http://schemas.openxmlformats.org/officeDocument/2006/relationships/hyperlink" Target="https://rice-financials.uaccess.arizona.edu/rice/kew/DocHandler.do?command=displayDocSearchView&amp;docId=27391196" TargetMode="External"/><Relationship Id="rId5" Type="http://schemas.openxmlformats.org/officeDocument/2006/relationships/hyperlink" Target="https://rice-financials.uaccess.arizona.edu/rice/kew/DocHandler.do?command=displayDocSearchView&amp;docId=27131938" TargetMode="External"/><Relationship Id="rId90" Type="http://schemas.openxmlformats.org/officeDocument/2006/relationships/hyperlink" Target="https://rice-financials.uaccess.arizona.edu/rice/kew/DocHandler.do?command=displayDocSearchView&amp;docId=28216743" TargetMode="External"/><Relationship Id="rId22" Type="http://schemas.openxmlformats.org/officeDocument/2006/relationships/hyperlink" Target="https://rice-financials.uaccess.arizona.edu/rice/kew/DocHandler.do?command=displayDocSearchView&amp;docId=27272857" TargetMode="External"/><Relationship Id="rId27" Type="http://schemas.openxmlformats.org/officeDocument/2006/relationships/hyperlink" Target="https://rice-financials.uaccess.arizona.edu/rice/kew/DocHandler.do?command=displayDocSearchView&amp;docId=27640099" TargetMode="External"/><Relationship Id="rId43" Type="http://schemas.openxmlformats.org/officeDocument/2006/relationships/hyperlink" Target="https://rice-financials.uaccess.arizona.edu/rice/kew/DocHandler.do?command=displayDocSearchView&amp;docId=27053057" TargetMode="External"/><Relationship Id="rId48" Type="http://schemas.openxmlformats.org/officeDocument/2006/relationships/hyperlink" Target="https://rice-financials.uaccess.arizona.edu/rice/kew/DocHandler.do?command=displayDocSearchView&amp;docId=26987701" TargetMode="External"/><Relationship Id="rId64" Type="http://schemas.openxmlformats.org/officeDocument/2006/relationships/hyperlink" Target="https://rice-financials.uaccess.arizona.edu/rice/kew/DocHandler.do?command=displayDocSearchView&amp;docId=26912771" TargetMode="External"/><Relationship Id="rId69" Type="http://schemas.openxmlformats.org/officeDocument/2006/relationships/hyperlink" Target="https://rice-financials.uaccess.arizona.edu/rice/kew/DocHandler.do?command=displayDocSearchView&amp;docId=27831683" TargetMode="External"/><Relationship Id="rId8" Type="http://schemas.openxmlformats.org/officeDocument/2006/relationships/hyperlink" Target="https://rice-financials.uaccess.arizona.edu/rice/kew/DocHandler.do?command=displayDocSearchView&amp;docId=27913782" TargetMode="External"/><Relationship Id="rId51" Type="http://schemas.openxmlformats.org/officeDocument/2006/relationships/hyperlink" Target="https://rice-financials.uaccess.arizona.edu/rice/kew/DocHandler.do?command=displayDocSearchView&amp;docId=28043696" TargetMode="External"/><Relationship Id="rId72" Type="http://schemas.openxmlformats.org/officeDocument/2006/relationships/hyperlink" Target="https://rice-financials.uaccess.arizona.edu/rice/kew/DocHandler.do?command=displayDocSearchView&amp;docId=27611298" TargetMode="External"/><Relationship Id="rId80" Type="http://schemas.openxmlformats.org/officeDocument/2006/relationships/hyperlink" Target="https://rice-financials.uaccess.arizona.edu/rice/kew/DocHandler.do?command=displayDocSearchView&amp;docId=27380726" TargetMode="External"/><Relationship Id="rId85" Type="http://schemas.openxmlformats.org/officeDocument/2006/relationships/hyperlink" Target="https://rice-financials.uaccess.arizona.edu/rice/kew/DocHandler.do?command=displayDocSearchView&amp;docId=27596330" TargetMode="External"/><Relationship Id="rId93" Type="http://schemas.openxmlformats.org/officeDocument/2006/relationships/hyperlink" Target="https://rice-financials.uaccess.arizona.edu/rice/kew/DocHandler.do?command=displayDocSearchView&amp;docId=28062536" TargetMode="External"/><Relationship Id="rId3" Type="http://schemas.openxmlformats.org/officeDocument/2006/relationships/hyperlink" Target="https://rice-financials.uaccess.arizona.edu/rice/kew/DocHandler.do?command=displayDocSearchView&amp;docId=27375160" TargetMode="External"/><Relationship Id="rId12" Type="http://schemas.openxmlformats.org/officeDocument/2006/relationships/hyperlink" Target="https://rice-financials.uaccess.arizona.edu/rice/kew/DocHandler.do?command=displayDocSearchView&amp;docId=27001315" TargetMode="External"/><Relationship Id="rId17" Type="http://schemas.openxmlformats.org/officeDocument/2006/relationships/hyperlink" Target="https://rice-financials.uaccess.arizona.edu/rice/kew/DocHandler.do?command=displayDocSearchView&amp;docId=27617327" TargetMode="External"/><Relationship Id="rId25" Type="http://schemas.openxmlformats.org/officeDocument/2006/relationships/hyperlink" Target="https://rice-financials.uaccess.arizona.edu/rice/kew/DocHandler.do?command=displayDocSearchView&amp;docId=27742893" TargetMode="External"/><Relationship Id="rId33" Type="http://schemas.openxmlformats.org/officeDocument/2006/relationships/hyperlink" Target="https://rice-financials.uaccess.arizona.edu/rice/kew/DocHandler.do?command=displayDocSearchView&amp;docId=27155407" TargetMode="External"/><Relationship Id="rId38" Type="http://schemas.openxmlformats.org/officeDocument/2006/relationships/hyperlink" Target="https://rice-financials.uaccess.arizona.edu/rice/kew/DocHandler.do?command=displayDocSearchView&amp;docId=28048814" TargetMode="External"/><Relationship Id="rId46" Type="http://schemas.openxmlformats.org/officeDocument/2006/relationships/hyperlink" Target="https://rice-financials.uaccess.arizona.edu/rice/kew/DocHandler.do?command=displayDocSearchView&amp;docId=26954123" TargetMode="External"/><Relationship Id="rId59" Type="http://schemas.openxmlformats.org/officeDocument/2006/relationships/hyperlink" Target="https://rice-financials.uaccess.arizona.edu/rice/kew/DocHandler.do?command=displayDocSearchView&amp;docId=26912775" TargetMode="External"/><Relationship Id="rId67" Type="http://schemas.openxmlformats.org/officeDocument/2006/relationships/hyperlink" Target="https://rice-financials.uaccess.arizona.edu/rice/kew/DocHandler.do?command=displayDocSearchView&amp;docId=27900007" TargetMode="External"/><Relationship Id="rId20" Type="http://schemas.openxmlformats.org/officeDocument/2006/relationships/hyperlink" Target="https://rice-financials.uaccess.arizona.edu/rice/kew/DocHandler.do?command=displayDocSearchView&amp;docId=27584552" TargetMode="External"/><Relationship Id="rId41" Type="http://schemas.openxmlformats.org/officeDocument/2006/relationships/hyperlink" Target="https://rice-financials.uaccess.arizona.edu/rice/kew/DocHandler.do?command=displayDocSearchView&amp;docId=28048711" TargetMode="External"/><Relationship Id="rId54" Type="http://schemas.openxmlformats.org/officeDocument/2006/relationships/hyperlink" Target="https://rice-financials.uaccess.arizona.edu/rice/kew/DocHandler.do?command=displayDocSearchView&amp;docId=27940050" TargetMode="External"/><Relationship Id="rId62" Type="http://schemas.openxmlformats.org/officeDocument/2006/relationships/hyperlink" Target="https://rice-financials.uaccess.arizona.edu/rice/kew/DocHandler.do?command=displayDocSearchView&amp;docId=26912773" TargetMode="External"/><Relationship Id="rId70" Type="http://schemas.openxmlformats.org/officeDocument/2006/relationships/hyperlink" Target="https://rice-financials.uaccess.arizona.edu/rice/kew/DocHandler.do?command=displayDocSearchView&amp;docId=27742893" TargetMode="External"/><Relationship Id="rId75" Type="http://schemas.openxmlformats.org/officeDocument/2006/relationships/hyperlink" Target="https://rice-financials.uaccess.arizona.edu/rice/kew/DocHandler.do?command=displayDocSearchView&amp;docId=27249964" TargetMode="External"/><Relationship Id="rId83" Type="http://schemas.openxmlformats.org/officeDocument/2006/relationships/hyperlink" Target="https://rice-financials.uaccess.arizona.edu/rice/kew/DocHandler.do?command=displayDocSearchView&amp;docId=27249962" TargetMode="External"/><Relationship Id="rId88" Type="http://schemas.openxmlformats.org/officeDocument/2006/relationships/hyperlink" Target="https://rice-financials.uaccess.arizona.edu/rice/kew/DocHandler.do?command=displayDocSearchView&amp;docId=28040101" TargetMode="External"/><Relationship Id="rId91" Type="http://schemas.openxmlformats.org/officeDocument/2006/relationships/hyperlink" Target="https://rice-financials.uaccess.arizona.edu/rice/kew/DocHandler.do?command=displayDocSearchView&amp;docId=28152642" TargetMode="External"/><Relationship Id="rId1" Type="http://schemas.openxmlformats.org/officeDocument/2006/relationships/hyperlink" Target="https://rice-financials.uaccess.arizona.edu/rice/kew/DocHandler.do?command=displayDocSearchView&amp;docId=27939663" TargetMode="External"/><Relationship Id="rId6" Type="http://schemas.openxmlformats.org/officeDocument/2006/relationships/hyperlink" Target="https://rice-financials.uaccess.arizona.edu/rice/kew/DocHandler.do?command=displayDocSearchView&amp;docId=27100496" TargetMode="External"/><Relationship Id="rId15" Type="http://schemas.openxmlformats.org/officeDocument/2006/relationships/hyperlink" Target="https://rice-financials.uaccess.arizona.edu/rice/kew/DocHandler.do?command=displayDocSearchView&amp;docId=26968150" TargetMode="External"/><Relationship Id="rId23" Type="http://schemas.openxmlformats.org/officeDocument/2006/relationships/hyperlink" Target="https://rice-financials.uaccess.arizona.edu/rice/kew/DocHandler.do?command=displayDocSearchView&amp;docId=27831683" TargetMode="External"/><Relationship Id="rId28" Type="http://schemas.openxmlformats.org/officeDocument/2006/relationships/hyperlink" Target="https://rice-financials.uaccess.arizona.edu/rice/kew/DocHandler.do?command=displayDocSearchView&amp;docId=27611298" TargetMode="External"/><Relationship Id="rId36" Type="http://schemas.openxmlformats.org/officeDocument/2006/relationships/hyperlink" Target="https://rice-financials.uaccess.arizona.edu/rice/kew/DocHandler.do?command=displayDocSearchView&amp;docId=28152642" TargetMode="External"/><Relationship Id="rId49" Type="http://schemas.openxmlformats.org/officeDocument/2006/relationships/hyperlink" Target="https://rice-financials.uaccess.arizona.edu/rice/kew/DocHandler.do?command=displayDocSearchView&amp;docId=26987700" TargetMode="External"/><Relationship Id="rId57" Type="http://schemas.openxmlformats.org/officeDocument/2006/relationships/hyperlink" Target="https://rice-financials.uaccess.arizona.edu/rice/kew/DocHandler.do?command=displayDocSearchView&amp;docId=27933695" TargetMode="External"/><Relationship Id="rId10" Type="http://schemas.openxmlformats.org/officeDocument/2006/relationships/hyperlink" Target="https://rice-financials.uaccess.arizona.edu/rice/kew/DocHandler.do?command=displayDocSearchView&amp;docId=27380724" TargetMode="External"/><Relationship Id="rId31" Type="http://schemas.openxmlformats.org/officeDocument/2006/relationships/hyperlink" Target="https://rice-financials.uaccess.arizona.edu/rice/kew/DocHandler.do?command=displayDocSearchView&amp;docId=27185986" TargetMode="External"/><Relationship Id="rId44" Type="http://schemas.openxmlformats.org/officeDocument/2006/relationships/hyperlink" Target="https://rice-financials.uaccess.arizona.edu/rice/kew/DocHandler.do?command=displayDocSearchView&amp;docId=27025573" TargetMode="External"/><Relationship Id="rId52" Type="http://schemas.openxmlformats.org/officeDocument/2006/relationships/hyperlink" Target="https://rice-financials.uaccess.arizona.edu/rice/kew/DocHandler.do?command=displayDocSearchView&amp;docId=28030362" TargetMode="External"/><Relationship Id="rId60" Type="http://schemas.openxmlformats.org/officeDocument/2006/relationships/hyperlink" Target="https://rice-financials.uaccess.arizona.edu/rice/kew/DocHandler.do?command=displayDocSearchView&amp;docId=27618811" TargetMode="External"/><Relationship Id="rId65" Type="http://schemas.openxmlformats.org/officeDocument/2006/relationships/hyperlink" Target="https://rice-financials.uaccess.arizona.edu/rice/kew/DocHandler.do?command=displayDocSearchView&amp;docId=28053244" TargetMode="External"/><Relationship Id="rId73" Type="http://schemas.openxmlformats.org/officeDocument/2006/relationships/hyperlink" Target="https://rice-financials.uaccess.arizona.edu/rice/kew/DocHandler.do?command=displayDocSearchView&amp;docId=27380725" TargetMode="External"/><Relationship Id="rId78" Type="http://schemas.openxmlformats.org/officeDocument/2006/relationships/hyperlink" Target="https://rice-financials.uaccess.arizona.edu/rice/kew/DocHandler.do?command=displayDocSearchView&amp;docId=27596331" TargetMode="External"/><Relationship Id="rId81" Type="http://schemas.openxmlformats.org/officeDocument/2006/relationships/hyperlink" Target="https://rice-financials.uaccess.arizona.edu/rice/kew/DocHandler.do?command=displayDocSearchView&amp;docId=27287014" TargetMode="External"/><Relationship Id="rId86" Type="http://schemas.openxmlformats.org/officeDocument/2006/relationships/hyperlink" Target="https://rice-financials.uaccess.arizona.edu/rice/kew/DocHandler.do?command=displayDocSearchView&amp;docId=27640100" TargetMode="External"/><Relationship Id="rId94" Type="http://schemas.openxmlformats.org/officeDocument/2006/relationships/hyperlink" Target="https://rice-financials.uaccess.arizona.edu/rice/kew/DocHandler.do?command=displayDocSearchView&amp;docId=28048840" TargetMode="External"/><Relationship Id="rId4" Type="http://schemas.openxmlformats.org/officeDocument/2006/relationships/hyperlink" Target="https://rice-financials.uaccess.arizona.edu/rice/kew/DocHandler.do?command=displayDocSearchView&amp;docId=27176726" TargetMode="External"/><Relationship Id="rId9" Type="http://schemas.openxmlformats.org/officeDocument/2006/relationships/hyperlink" Target="https://rice-financials.uaccess.arizona.edu/rice/kew/DocHandler.do?command=displayDocSearchView&amp;docId=27380725" TargetMode="External"/><Relationship Id="rId13" Type="http://schemas.openxmlformats.org/officeDocument/2006/relationships/hyperlink" Target="https://rice-financials.uaccess.arizona.edu/rice/kew/DocHandler.do?command=displayDocSearchView&amp;docId=26787321" TargetMode="External"/><Relationship Id="rId18" Type="http://schemas.openxmlformats.org/officeDocument/2006/relationships/hyperlink" Target="https://rice-financials.uaccess.arizona.edu/rice/kew/DocHandler.do?command=displayDocSearchView&amp;docId=27617327" TargetMode="External"/><Relationship Id="rId39" Type="http://schemas.openxmlformats.org/officeDocument/2006/relationships/hyperlink" Target="https://rice-financials.uaccess.arizona.edu/rice/kew/DocHandler.do?command=displayDocSearchView&amp;docId=28048798" TargetMode="External"/><Relationship Id="rId34" Type="http://schemas.openxmlformats.org/officeDocument/2006/relationships/hyperlink" Target="https://rice-financials.uaccess.arizona.edu/rice/kew/DocHandler.do?command=displayDocSearchView&amp;docId=28300122" TargetMode="External"/><Relationship Id="rId50" Type="http://schemas.openxmlformats.org/officeDocument/2006/relationships/hyperlink" Target="https://rice-financials.uaccess.arizona.edu/rice/kew/DocHandler.do?command=displayDocSearchView&amp;docId=28048004" TargetMode="External"/><Relationship Id="rId55" Type="http://schemas.openxmlformats.org/officeDocument/2006/relationships/hyperlink" Target="https://rice-financials.uaccess.arizona.edu/rice/kew/DocHandler.do?command=displayDocSearchView&amp;docId=27939663" TargetMode="External"/><Relationship Id="rId76" Type="http://schemas.openxmlformats.org/officeDocument/2006/relationships/hyperlink" Target="https://rice-financials.uaccess.arizona.edu/rice/kew/DocHandler.do?command=displayDocSearchView&amp;docId=27131938" TargetMode="External"/><Relationship Id="rId7" Type="http://schemas.openxmlformats.org/officeDocument/2006/relationships/hyperlink" Target="https://rice-financials.uaccess.arizona.edu/rice/kew/DocHandler.do?command=displayDocSearchView&amp;docId=27617327" TargetMode="External"/><Relationship Id="rId71" Type="http://schemas.openxmlformats.org/officeDocument/2006/relationships/hyperlink" Target="https://rice-financials.uaccess.arizona.edu/rice/kew/DocHandler.do?command=displayDocSearchView&amp;docId=27640099" TargetMode="External"/><Relationship Id="rId92" Type="http://schemas.openxmlformats.org/officeDocument/2006/relationships/hyperlink" Target="https://rice-financials.uaccess.arizona.edu/rice/kew/DocHandler.do?command=displayDocSearchView&amp;docId=28152614" TargetMode="External"/><Relationship Id="rId2" Type="http://schemas.openxmlformats.org/officeDocument/2006/relationships/hyperlink" Target="https://rice-financials.uaccess.arizona.edu/rice/kew/DocHandler.do?command=displayDocSearchView&amp;docId=27618811" TargetMode="External"/><Relationship Id="rId29" Type="http://schemas.openxmlformats.org/officeDocument/2006/relationships/hyperlink" Target="https://rice-financials.uaccess.arizona.edu/rice/kew/DocHandler.do?command=displayDocSearchView&amp;docId=27001315" TargetMode="External"/><Relationship Id="rId24" Type="http://schemas.openxmlformats.org/officeDocument/2006/relationships/hyperlink" Target="https://rice-financials.uaccess.arizona.edu/rice/kew/DocHandler.do?command=displayDocSearchView&amp;docId=27185986" TargetMode="External"/><Relationship Id="rId40" Type="http://schemas.openxmlformats.org/officeDocument/2006/relationships/hyperlink" Target="https://rice-financials.uaccess.arizona.edu/rice/kew/DocHandler.do?command=displayDocSearchView&amp;docId=27742892" TargetMode="External"/><Relationship Id="rId45" Type="http://schemas.openxmlformats.org/officeDocument/2006/relationships/hyperlink" Target="https://rice-financials.uaccess.arizona.edu/rice/kew/DocHandler.do?command=displayDocSearchView&amp;docId=26954124" TargetMode="External"/><Relationship Id="rId66" Type="http://schemas.openxmlformats.org/officeDocument/2006/relationships/hyperlink" Target="https://rice-financials.uaccess.arizona.edu/rice/kew/DocHandler.do?command=displayDocSearchView&amp;docId=28192433" TargetMode="External"/><Relationship Id="rId87" Type="http://schemas.openxmlformats.org/officeDocument/2006/relationships/hyperlink" Target="https://rice-financials.uaccess.arizona.edu/rice/kew/DocHandler.do?command=displayDocSearchView&amp;docId=26987701" TargetMode="External"/><Relationship Id="rId61" Type="http://schemas.openxmlformats.org/officeDocument/2006/relationships/hyperlink" Target="https://rice-financials.uaccess.arizona.edu/rice/kew/DocHandler.do?command=displayDocSearchView&amp;docId=26912774" TargetMode="External"/><Relationship Id="rId82" Type="http://schemas.openxmlformats.org/officeDocument/2006/relationships/hyperlink" Target="https://rice-financials.uaccess.arizona.edu/rice/kew/DocHandler.do?command=displayDocSearchView&amp;docId=27249963" TargetMode="External"/><Relationship Id="rId19" Type="http://schemas.openxmlformats.org/officeDocument/2006/relationships/hyperlink" Target="https://rice-financials.uaccess.arizona.edu/rice/kew/DocHandler.do?command=displayDocSearchView&amp;docId=27609764" TargetMode="External"/><Relationship Id="rId14" Type="http://schemas.openxmlformats.org/officeDocument/2006/relationships/hyperlink" Target="https://rice-financials.uaccess.arizona.edu/rice/kew/DocHandler.do?command=displayDocSearchView&amp;docId=27380725" TargetMode="External"/><Relationship Id="rId30" Type="http://schemas.openxmlformats.org/officeDocument/2006/relationships/hyperlink" Target="https://rice-financials.uaccess.arizona.edu/rice/kew/DocHandler.do?command=displayDocSearchView&amp;docId=26787321" TargetMode="External"/><Relationship Id="rId35" Type="http://schemas.openxmlformats.org/officeDocument/2006/relationships/hyperlink" Target="https://rice-financials.uaccess.arizona.edu/rice/kew/DocHandler.do?command=displayDocSearchView&amp;docId=28152679" TargetMode="External"/><Relationship Id="rId56" Type="http://schemas.openxmlformats.org/officeDocument/2006/relationships/hyperlink" Target="https://rice-financials.uaccess.arizona.edu/rice/kew/DocHandler.do?command=displayDocSearchView&amp;docId=27936155" TargetMode="External"/><Relationship Id="rId77" Type="http://schemas.openxmlformats.org/officeDocument/2006/relationships/hyperlink" Target="https://rice-financials.uaccess.arizona.edu/rice/kew/DocHandler.do?command=displayDocSearchView&amp;docId=2710049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ice-financials.uaccess.arizona.edu/rice/kew/DocHandler.do?command=displayDocSearchView&amp;docId=28498298" TargetMode="External"/><Relationship Id="rId21" Type="http://schemas.openxmlformats.org/officeDocument/2006/relationships/hyperlink" Target="https://rice-financials.uaccess.arizona.edu/rice/kew/DocHandler.do?command=displayDocSearchView&amp;docId=29453612" TargetMode="External"/><Relationship Id="rId63" Type="http://schemas.openxmlformats.org/officeDocument/2006/relationships/hyperlink" Target="https://rice-financials.uaccess.arizona.edu/rice/kew/DocHandler.do?command=displayDocSearchView&amp;docId=31212828" TargetMode="External"/><Relationship Id="rId159" Type="http://schemas.openxmlformats.org/officeDocument/2006/relationships/hyperlink" Target="https://rice-financials.uaccess.arizona.edu/rice/kew/DocHandler.do?command=displayDocSearchView&amp;docId=28971735" TargetMode="External"/><Relationship Id="rId170" Type="http://schemas.openxmlformats.org/officeDocument/2006/relationships/hyperlink" Target="https://rice-financials.uaccess.arizona.edu/rice/kew/DocHandler.do?command=displayDocSearchView&amp;docId=28902479" TargetMode="External"/><Relationship Id="rId226" Type="http://schemas.openxmlformats.org/officeDocument/2006/relationships/hyperlink" Target="https://rice-financials.uaccess.arizona.edu/rice/kew/DocHandler.do?command=displayDocSearchView&amp;docId=28520286" TargetMode="External"/><Relationship Id="rId268" Type="http://schemas.openxmlformats.org/officeDocument/2006/relationships/hyperlink" Target="https://rice-financials.uaccess.arizona.edu/rice/kew/DocHandler.do?command=displayDocSearchView&amp;docId=29963482" TargetMode="External"/><Relationship Id="rId32" Type="http://schemas.openxmlformats.org/officeDocument/2006/relationships/hyperlink" Target="https://rice-financials.uaccess.arizona.edu/rice/kew/DocHandler.do?command=displayDocSearchView&amp;docId=29371243" TargetMode="External"/><Relationship Id="rId74" Type="http://schemas.openxmlformats.org/officeDocument/2006/relationships/hyperlink" Target="https://rice-financials.uaccess.arizona.edu/rice/kew/DocHandler.do?command=displayDocSearchView&amp;docId=29505536" TargetMode="External"/><Relationship Id="rId128" Type="http://schemas.openxmlformats.org/officeDocument/2006/relationships/hyperlink" Target="https://rice-financials.uaccess.arizona.edu/rice/kew/DocHandler.do?command=displayDocSearchView&amp;docId=30997776" TargetMode="External"/><Relationship Id="rId5" Type="http://schemas.openxmlformats.org/officeDocument/2006/relationships/hyperlink" Target="https://rice-financials.uaccess.arizona.edu/rice/kew/DocHandler.do?command=displayDocSearchView&amp;docId=29536719" TargetMode="External"/><Relationship Id="rId181" Type="http://schemas.openxmlformats.org/officeDocument/2006/relationships/hyperlink" Target="https://rice-financials.uaccess.arizona.edu/rice/kew/DocHandler.do?command=displayDocSearchView&amp;docId=28870392" TargetMode="External"/><Relationship Id="rId237" Type="http://schemas.openxmlformats.org/officeDocument/2006/relationships/hyperlink" Target="https://rice-financials.uaccess.arizona.edu/rice/kew/DocHandler.do?command=displayDocSearchView&amp;docId=28536258" TargetMode="External"/><Relationship Id="rId279" Type="http://schemas.openxmlformats.org/officeDocument/2006/relationships/hyperlink" Target="https://rice-financials.uaccess.arizona.edu/rice/kew/DocHandler.do?command=displayDocSearchView&amp;docId=29765572" TargetMode="External"/><Relationship Id="rId43" Type="http://schemas.openxmlformats.org/officeDocument/2006/relationships/hyperlink" Target="https://rice-financials.uaccess.arizona.edu/rice/kew/DocHandler.do?command=displayDocSearchView&amp;docId=29223421" TargetMode="External"/><Relationship Id="rId139" Type="http://schemas.openxmlformats.org/officeDocument/2006/relationships/hyperlink" Target="https://rice-financials.uaccess.arizona.edu/rice/kew/DocHandler.do?command=displayDocSearchView&amp;docId=31507494" TargetMode="External"/><Relationship Id="rId290" Type="http://schemas.openxmlformats.org/officeDocument/2006/relationships/hyperlink" Target="https://rice-financials.uaccess.arizona.edu/rice/kew/DocHandler.do?command=displayDocSearchView&amp;docId=29483535" TargetMode="External"/><Relationship Id="rId85" Type="http://schemas.openxmlformats.org/officeDocument/2006/relationships/hyperlink" Target="https://rice-financials.uaccess.arizona.edu/rice/kew/DocHandler.do?command=displayDocSearchView&amp;docId=31553281" TargetMode="External"/><Relationship Id="rId150" Type="http://schemas.openxmlformats.org/officeDocument/2006/relationships/hyperlink" Target="https://rice-financials.uaccess.arizona.edu/rice/kew/DocHandler.do?command=displayDocSearchView&amp;docId=30092272" TargetMode="External"/><Relationship Id="rId192" Type="http://schemas.openxmlformats.org/officeDocument/2006/relationships/hyperlink" Target="https://rice-financials.uaccess.arizona.edu/rice/kew/DocHandler.do?command=displayDocSearchView&amp;docId=28804569" TargetMode="External"/><Relationship Id="rId206" Type="http://schemas.openxmlformats.org/officeDocument/2006/relationships/hyperlink" Target="https://rice-financials.uaccess.arizona.edu/rice/kew/DocHandler.do?command=displayDocSearchView&amp;docId=28767061" TargetMode="External"/><Relationship Id="rId248" Type="http://schemas.openxmlformats.org/officeDocument/2006/relationships/hyperlink" Target="https://rice-financials.uaccess.arizona.edu/rice/kew/DocHandler.do?command=displayDocSearchView&amp;docId=28480302" TargetMode="External"/><Relationship Id="rId269" Type="http://schemas.openxmlformats.org/officeDocument/2006/relationships/hyperlink" Target="https://rice-financials.uaccess.arizona.edu/rice/kew/DocHandler.do?command=displayDocSearchView&amp;docId=29937422" TargetMode="External"/><Relationship Id="rId12" Type="http://schemas.openxmlformats.org/officeDocument/2006/relationships/hyperlink" Target="https://rice-financials.uaccess.arizona.edu/rice/kew/DocHandler.do?command=displayDocSearchView&amp;docId=29494276" TargetMode="External"/><Relationship Id="rId33" Type="http://schemas.openxmlformats.org/officeDocument/2006/relationships/hyperlink" Target="https://rice-financials.uaccess.arizona.edu/rice/kew/DocHandler.do?command=displayDocSearchView&amp;docId=29333060" TargetMode="External"/><Relationship Id="rId108" Type="http://schemas.openxmlformats.org/officeDocument/2006/relationships/hyperlink" Target="https://rice-financials.uaccess.arizona.edu/rice/kew/DocHandler.do?command=displayDocSearchView&amp;docId=31553281" TargetMode="External"/><Relationship Id="rId129" Type="http://schemas.openxmlformats.org/officeDocument/2006/relationships/hyperlink" Target="https://rice-financials.uaccess.arizona.edu/rice/kew/DocHandler.do?command=displayDocSearchView&amp;docId=30052291" TargetMode="External"/><Relationship Id="rId280" Type="http://schemas.openxmlformats.org/officeDocument/2006/relationships/hyperlink" Target="https://rice-financials.uaccess.arizona.edu/rice/kew/DocHandler.do?command=displayDocSearchView&amp;docId=29624205" TargetMode="External"/><Relationship Id="rId54" Type="http://schemas.openxmlformats.org/officeDocument/2006/relationships/hyperlink" Target="https://rice-financials.uaccess.arizona.edu/rice/kew/DocHandler.do?command=displayDocSearchView&amp;docId=29153076" TargetMode="External"/><Relationship Id="rId75" Type="http://schemas.openxmlformats.org/officeDocument/2006/relationships/hyperlink" Target="https://rice-financials.uaccess.arizona.edu/rice/kew/DocHandler.do?command=displayDocSearchView&amp;docId=28982577" TargetMode="External"/><Relationship Id="rId96" Type="http://schemas.openxmlformats.org/officeDocument/2006/relationships/hyperlink" Target="https://rice-financials.uaccess.arizona.edu/rice/kew/DocHandler.do?command=displayDocSearchView&amp;docId=28552973" TargetMode="External"/><Relationship Id="rId140" Type="http://schemas.openxmlformats.org/officeDocument/2006/relationships/hyperlink" Target="https://rice-financials.uaccess.arizona.edu/rice/kew/DocHandler.do?command=displayDocSearchView&amp;docId=31431242" TargetMode="External"/><Relationship Id="rId161" Type="http://schemas.openxmlformats.org/officeDocument/2006/relationships/hyperlink" Target="https://rice-financials.uaccess.arizona.edu/rice/kew/DocHandler.do?command=displayDocSearchView&amp;docId=28928144" TargetMode="External"/><Relationship Id="rId182" Type="http://schemas.openxmlformats.org/officeDocument/2006/relationships/hyperlink" Target="https://rice-financials.uaccess.arizona.edu/rice/kew/DocHandler.do?command=displayDocSearchView&amp;docId=28870377" TargetMode="External"/><Relationship Id="rId217" Type="http://schemas.openxmlformats.org/officeDocument/2006/relationships/hyperlink" Target="https://rice-financials.uaccess.arizona.edu/rice/kew/DocHandler.do?command=displayDocSearchView&amp;docId=28729760" TargetMode="External"/><Relationship Id="rId6" Type="http://schemas.openxmlformats.org/officeDocument/2006/relationships/hyperlink" Target="https://rice-financials.uaccess.arizona.edu/rice/kew/DocHandler.do?command=displayDocSearchView&amp;docId=29536708" TargetMode="External"/><Relationship Id="rId238" Type="http://schemas.openxmlformats.org/officeDocument/2006/relationships/hyperlink" Target="https://rice-financials.uaccess.arizona.edu/rice/kew/DocHandler.do?command=displayDocSearchView&amp;docId=28498297" TargetMode="External"/><Relationship Id="rId259" Type="http://schemas.openxmlformats.org/officeDocument/2006/relationships/hyperlink" Target="https://rice-financials.uaccess.arizona.edu/rice/kew/DocHandler.do?command=displayDocSearchView&amp;docId=30117047" TargetMode="External"/><Relationship Id="rId23" Type="http://schemas.openxmlformats.org/officeDocument/2006/relationships/hyperlink" Target="https://rice-financials.uaccess.arizona.edu/rice/kew/DocHandler.do?command=displayDocSearchView&amp;docId=29441992" TargetMode="External"/><Relationship Id="rId119" Type="http://schemas.openxmlformats.org/officeDocument/2006/relationships/hyperlink" Target="https://rice-financials.uaccess.arizona.edu/rice/kew/DocHandler.do?command=displayDocSearchView&amp;docId=31553281" TargetMode="External"/><Relationship Id="rId270" Type="http://schemas.openxmlformats.org/officeDocument/2006/relationships/hyperlink" Target="https://rice-financials.uaccess.arizona.edu/rice/kew/DocHandler.do?command=displayDocSearchView&amp;docId=29954049" TargetMode="External"/><Relationship Id="rId44" Type="http://schemas.openxmlformats.org/officeDocument/2006/relationships/hyperlink" Target="https://rice-financials.uaccess.arizona.edu/rice/kew/DocHandler.do?command=displayDocSearchView&amp;docId=29222643" TargetMode="External"/><Relationship Id="rId65" Type="http://schemas.openxmlformats.org/officeDocument/2006/relationships/hyperlink" Target="https://rice-financials.uaccess.arizona.edu/rice/kew/DocHandler.do?command=displayDocSearchView&amp;docId=31196997" TargetMode="External"/><Relationship Id="rId86" Type="http://schemas.openxmlformats.org/officeDocument/2006/relationships/hyperlink" Target="https://rice-financials.uaccess.arizona.edu/rice/kew/DocHandler.do?command=displayDocSearchView&amp;docId=30115321" TargetMode="External"/><Relationship Id="rId130" Type="http://schemas.openxmlformats.org/officeDocument/2006/relationships/hyperlink" Target="https://rice-financials.uaccess.arizona.edu/rice/kew/DocHandler.do?command=displayDocSearchView&amp;docId=29989218" TargetMode="External"/><Relationship Id="rId151" Type="http://schemas.openxmlformats.org/officeDocument/2006/relationships/hyperlink" Target="https://rice-financials.uaccess.arizona.edu/rice/kew/DocHandler.do?command=displayDocSearchView&amp;docId=30080136" TargetMode="External"/><Relationship Id="rId172" Type="http://schemas.openxmlformats.org/officeDocument/2006/relationships/hyperlink" Target="https://rice-financials.uaccess.arizona.edu/rice/kew/DocHandler.do?command=displayDocSearchView&amp;docId=28802233" TargetMode="External"/><Relationship Id="rId193" Type="http://schemas.openxmlformats.org/officeDocument/2006/relationships/hyperlink" Target="https://rice-financials.uaccess.arizona.edu/rice/kew/DocHandler.do?command=displayDocSearchView&amp;docId=28796530" TargetMode="External"/><Relationship Id="rId207" Type="http://schemas.openxmlformats.org/officeDocument/2006/relationships/hyperlink" Target="https://rice-financials.uaccess.arizona.edu/rice/kew/DocHandler.do?command=displayDocSearchView&amp;docId=28749825" TargetMode="External"/><Relationship Id="rId228" Type="http://schemas.openxmlformats.org/officeDocument/2006/relationships/hyperlink" Target="https://rice-financials.uaccess.arizona.edu/rice/kew/DocHandler.do?command=displayDocSearchView&amp;docId=28520284" TargetMode="External"/><Relationship Id="rId249" Type="http://schemas.openxmlformats.org/officeDocument/2006/relationships/hyperlink" Target="https://rice-financials.uaccess.arizona.edu/rice/kew/DocHandler.do?command=displayDocSearchView&amp;docId=28479566" TargetMode="External"/><Relationship Id="rId13" Type="http://schemas.openxmlformats.org/officeDocument/2006/relationships/hyperlink" Target="https://rice-financials.uaccess.arizona.edu/rice/kew/DocHandler.do?command=displayDocSearchView&amp;docId=29472831" TargetMode="External"/><Relationship Id="rId109" Type="http://schemas.openxmlformats.org/officeDocument/2006/relationships/hyperlink" Target="https://rice-financials.uaccess.arizona.edu/rice/kew/DocHandler.do?command=displayDocSearchView&amp;docId=29935945" TargetMode="External"/><Relationship Id="rId260" Type="http://schemas.openxmlformats.org/officeDocument/2006/relationships/hyperlink" Target="https://rice-financials.uaccess.arizona.edu/rice/kew/DocHandler.do?command=displayDocSearchView&amp;docId=29975104" TargetMode="External"/><Relationship Id="rId281" Type="http://schemas.openxmlformats.org/officeDocument/2006/relationships/hyperlink" Target="https://rice-financials.uaccess.arizona.edu/rice/kew/DocHandler.do?command=displayDocSearchView&amp;docId=29615214" TargetMode="External"/><Relationship Id="rId34" Type="http://schemas.openxmlformats.org/officeDocument/2006/relationships/hyperlink" Target="https://rice-financials.uaccess.arizona.edu/rice/kew/DocHandler.do?command=displayDocSearchView&amp;docId=29332999" TargetMode="External"/><Relationship Id="rId55" Type="http://schemas.openxmlformats.org/officeDocument/2006/relationships/hyperlink" Target="https://rice-financials.uaccess.arizona.edu/rice/kew/DocHandler.do?command=displayDocSearchView&amp;docId=29153055" TargetMode="External"/><Relationship Id="rId76" Type="http://schemas.openxmlformats.org/officeDocument/2006/relationships/hyperlink" Target="https://rice-financials.uaccess.arizona.edu/rice/kew/DocHandler.do?command=displayDocSearchView&amp;docId=29842942" TargetMode="External"/><Relationship Id="rId97" Type="http://schemas.openxmlformats.org/officeDocument/2006/relationships/hyperlink" Target="https://rice-financials.uaccess.arizona.edu/rice/kew/DocHandler.do?command=displayDocSearchView&amp;docId=753373" TargetMode="External"/><Relationship Id="rId120" Type="http://schemas.openxmlformats.org/officeDocument/2006/relationships/hyperlink" Target="https://rice-financials.uaccess.arizona.edu/rice/kew/DocHandler.do?command=displayDocSearchView&amp;docId=29483535" TargetMode="External"/><Relationship Id="rId141" Type="http://schemas.openxmlformats.org/officeDocument/2006/relationships/hyperlink" Target="https://rice-financials.uaccess.arizona.edu/rice/kew/DocHandler.do?command=displayDocSearchView&amp;docId=31321941" TargetMode="External"/><Relationship Id="rId7" Type="http://schemas.openxmlformats.org/officeDocument/2006/relationships/hyperlink" Target="https://rice-financials.uaccess.arizona.edu/rice/kew/DocHandler.do?command=displayDocSearchView&amp;docId=29522225" TargetMode="External"/><Relationship Id="rId162" Type="http://schemas.openxmlformats.org/officeDocument/2006/relationships/hyperlink" Target="https://rice-financials.uaccess.arizona.edu/rice/kew/DocHandler.do?command=displayDocSearchView&amp;docId=28932003" TargetMode="External"/><Relationship Id="rId183" Type="http://schemas.openxmlformats.org/officeDocument/2006/relationships/hyperlink" Target="https://rice-financials.uaccess.arizona.edu/rice/kew/DocHandler.do?command=displayDocSearchView&amp;docId=28870362" TargetMode="External"/><Relationship Id="rId218" Type="http://schemas.openxmlformats.org/officeDocument/2006/relationships/hyperlink" Target="https://rice-financials.uaccess.arizona.edu/rice/kew/DocHandler.do?command=displayDocSearchView&amp;docId=28729317" TargetMode="External"/><Relationship Id="rId239" Type="http://schemas.openxmlformats.org/officeDocument/2006/relationships/hyperlink" Target="https://rice-financials.uaccess.arizona.edu/rice/kew/DocHandler.do?command=displayDocSearchView&amp;docId=28446796" TargetMode="External"/><Relationship Id="rId250" Type="http://schemas.openxmlformats.org/officeDocument/2006/relationships/hyperlink" Target="https://rice-financials.uaccess.arizona.edu/rice/kew/DocHandler.do?command=displayDocSearchView&amp;docId=28479356" TargetMode="External"/><Relationship Id="rId271" Type="http://schemas.openxmlformats.org/officeDocument/2006/relationships/hyperlink" Target="https://rice-financials.uaccess.arizona.edu/rice/kew/DocHandler.do?command=displayDocSearchView&amp;docId=29935946" TargetMode="External"/><Relationship Id="rId24" Type="http://schemas.openxmlformats.org/officeDocument/2006/relationships/hyperlink" Target="https://rice-financials.uaccess.arizona.edu/rice/kew/DocHandler.do?command=displayDocSearchView&amp;docId=29420383" TargetMode="External"/><Relationship Id="rId45" Type="http://schemas.openxmlformats.org/officeDocument/2006/relationships/hyperlink" Target="https://rice-financials.uaccess.arizona.edu/rice/kew/DocHandler.do?command=displayDocSearchView&amp;docId=29203641" TargetMode="External"/><Relationship Id="rId66" Type="http://schemas.openxmlformats.org/officeDocument/2006/relationships/hyperlink" Target="https://rice-financials.uaccess.arizona.edu/rice/kew/DocHandler.do?command=displayDocSearchView&amp;docId=31097827" TargetMode="External"/><Relationship Id="rId87" Type="http://schemas.openxmlformats.org/officeDocument/2006/relationships/hyperlink" Target="https://rice-financials.uaccess.arizona.edu/rice/kew/DocHandler.do?command=displayDocSearchView&amp;docId=28628090" TargetMode="External"/><Relationship Id="rId110" Type="http://schemas.openxmlformats.org/officeDocument/2006/relationships/hyperlink" Target="https://rice-financials.uaccess.arizona.edu/rice/kew/DocHandler.do?command=displayDocSearchView&amp;docId=29698930" TargetMode="External"/><Relationship Id="rId131" Type="http://schemas.openxmlformats.org/officeDocument/2006/relationships/hyperlink" Target="https://rice-financials.uaccess.arizona.edu/rice/kew/DocHandler.do?command=displayDocSearchView&amp;docId=29912446" TargetMode="External"/><Relationship Id="rId152" Type="http://schemas.openxmlformats.org/officeDocument/2006/relationships/hyperlink" Target="https://rice-financials.uaccess.arizona.edu/rice/kew/DocHandler.do?command=displayDocSearchView&amp;docId=30080135" TargetMode="External"/><Relationship Id="rId173" Type="http://schemas.openxmlformats.org/officeDocument/2006/relationships/hyperlink" Target="https://rice-financials.uaccess.arizona.edu/rice/kew/DocHandler.do?command=displayDocSearchView&amp;docId=28774156" TargetMode="External"/><Relationship Id="rId194" Type="http://schemas.openxmlformats.org/officeDocument/2006/relationships/hyperlink" Target="https://rice-financials.uaccess.arizona.edu/rice/kew/DocHandler.do?command=displayDocSearchView&amp;docId=28792640" TargetMode="External"/><Relationship Id="rId208" Type="http://schemas.openxmlformats.org/officeDocument/2006/relationships/hyperlink" Target="https://rice-financials.uaccess.arizona.edu/rice/kew/DocHandler.do?command=displayDocSearchView&amp;docId=28754659" TargetMode="External"/><Relationship Id="rId229" Type="http://schemas.openxmlformats.org/officeDocument/2006/relationships/hyperlink" Target="https://rice-financials.uaccess.arizona.edu/rice/kew/DocHandler.do?command=displayDocSearchView&amp;docId=28623033" TargetMode="External"/><Relationship Id="rId240" Type="http://schemas.openxmlformats.org/officeDocument/2006/relationships/hyperlink" Target="https://rice-financials.uaccess.arizona.edu/rice/kew/DocHandler.do?command=displayDocSearchView&amp;docId=28446795" TargetMode="External"/><Relationship Id="rId261" Type="http://schemas.openxmlformats.org/officeDocument/2006/relationships/hyperlink" Target="https://rice-financials.uaccess.arizona.edu/rice/kew/DocHandler.do?command=displayDocSearchView&amp;docId=30080728" TargetMode="External"/><Relationship Id="rId14" Type="http://schemas.openxmlformats.org/officeDocument/2006/relationships/hyperlink" Target="https://rice-financials.uaccess.arizona.edu/rice/kew/DocHandler.do?command=displayDocSearchView&amp;docId=29472907" TargetMode="External"/><Relationship Id="rId35" Type="http://schemas.openxmlformats.org/officeDocument/2006/relationships/hyperlink" Target="https://rice-financials.uaccess.arizona.edu/rice/kew/DocHandler.do?command=displayDocSearchView&amp;docId=29243531" TargetMode="External"/><Relationship Id="rId56" Type="http://schemas.openxmlformats.org/officeDocument/2006/relationships/hyperlink" Target="https://rice-financials.uaccess.arizona.edu/rice/kew/DocHandler.do?command=displayDocSearchView&amp;docId=29136698" TargetMode="External"/><Relationship Id="rId77" Type="http://schemas.openxmlformats.org/officeDocument/2006/relationships/hyperlink" Target="https://rice-financials.uaccess.arizona.edu/rice/kew/DocHandler.do?command=displayDocSearchView&amp;docId=29206718" TargetMode="External"/><Relationship Id="rId100" Type="http://schemas.openxmlformats.org/officeDocument/2006/relationships/hyperlink" Target="https://rice-financials.uaccess.arizona.edu/rice/kew/DocHandler.do?command=displayDocSearchView&amp;docId=29852554" TargetMode="External"/><Relationship Id="rId282" Type="http://schemas.openxmlformats.org/officeDocument/2006/relationships/hyperlink" Target="https://rice-financials.uaccess.arizona.edu/rice/kew/DocHandler.do?command=displayDocSearchView&amp;docId=29602767" TargetMode="External"/><Relationship Id="rId8" Type="http://schemas.openxmlformats.org/officeDocument/2006/relationships/hyperlink" Target="https://rice-financials.uaccess.arizona.edu/rice/kew/DocHandler.do?command=displayDocSearchView&amp;docId=29496436" TargetMode="External"/><Relationship Id="rId98" Type="http://schemas.openxmlformats.org/officeDocument/2006/relationships/hyperlink" Target="https://rice-financials.uaccess.arizona.edu/rice/kew/DocHandler.do?command=displayDocSearchView&amp;docId=31553281" TargetMode="External"/><Relationship Id="rId121" Type="http://schemas.openxmlformats.org/officeDocument/2006/relationships/hyperlink" Target="https://rice-financials.uaccess.arizona.edu/rice/kew/DocHandler.do?command=displayDocSearchView&amp;docId=28696849" TargetMode="External"/><Relationship Id="rId142" Type="http://schemas.openxmlformats.org/officeDocument/2006/relationships/hyperlink" Target="https://rice-financials.uaccess.arizona.edu/rice/kew/DocHandler.do?command=displayDocSearchView&amp;docId=31311392" TargetMode="External"/><Relationship Id="rId163" Type="http://schemas.openxmlformats.org/officeDocument/2006/relationships/hyperlink" Target="https://rice-financials.uaccess.arizona.edu/rice/kew/DocHandler.do?command=displayDocSearchView&amp;docId=28929290" TargetMode="External"/><Relationship Id="rId184" Type="http://schemas.openxmlformats.org/officeDocument/2006/relationships/hyperlink" Target="https://rice-financials.uaccess.arizona.edu/rice/kew/DocHandler.do?command=displayDocSearchView&amp;docId=28839929" TargetMode="External"/><Relationship Id="rId219" Type="http://schemas.openxmlformats.org/officeDocument/2006/relationships/hyperlink" Target="https://rice-financials.uaccess.arizona.edu/rice/kew/DocHandler.do?command=displayDocSearchView&amp;docId=28697042" TargetMode="External"/><Relationship Id="rId230" Type="http://schemas.openxmlformats.org/officeDocument/2006/relationships/hyperlink" Target="https://rice-financials.uaccess.arizona.edu/rice/kew/DocHandler.do?command=displayDocSearchView&amp;docId=28608930" TargetMode="External"/><Relationship Id="rId251" Type="http://schemas.openxmlformats.org/officeDocument/2006/relationships/hyperlink" Target="https://rice-financials.uaccess.arizona.edu/rice/kew/DocHandler.do?command=displayDocSearchView&amp;docId=28404801" TargetMode="External"/><Relationship Id="rId25" Type="http://schemas.openxmlformats.org/officeDocument/2006/relationships/hyperlink" Target="https://rice-financials.uaccess.arizona.edu/rice/kew/DocHandler.do?command=displayDocSearchView&amp;docId=29296416" TargetMode="External"/><Relationship Id="rId46" Type="http://schemas.openxmlformats.org/officeDocument/2006/relationships/hyperlink" Target="https://rice-financials.uaccess.arizona.edu/rice/kew/DocHandler.do?command=displayDocSearchView&amp;docId=29061259" TargetMode="External"/><Relationship Id="rId67" Type="http://schemas.openxmlformats.org/officeDocument/2006/relationships/hyperlink" Target="https://rice-financials.uaccess.arizona.edu/rice/kew/DocHandler.do?command=displayDocSearchView&amp;docId=29050048" TargetMode="External"/><Relationship Id="rId272" Type="http://schemas.openxmlformats.org/officeDocument/2006/relationships/hyperlink" Target="https://rice-financials.uaccess.arizona.edu/rice/kew/DocHandler.do?command=displayDocSearchView&amp;docId=29921136" TargetMode="External"/><Relationship Id="rId88" Type="http://schemas.openxmlformats.org/officeDocument/2006/relationships/hyperlink" Target="https://rice-financials.uaccess.arizona.edu/rice/kew/DocHandler.do?command=displayDocSearchView&amp;docId=28553116" TargetMode="External"/><Relationship Id="rId111" Type="http://schemas.openxmlformats.org/officeDocument/2006/relationships/hyperlink" Target="https://rice-financials.uaccess.arizona.edu/rice/kew/DocHandler.do?command=displayDocSearchView&amp;docId=29698928" TargetMode="External"/><Relationship Id="rId132" Type="http://schemas.openxmlformats.org/officeDocument/2006/relationships/hyperlink" Target="https://rice-financials.uaccess.arizona.edu/rice/kew/DocHandler.do?command=displayDocSearchView&amp;docId=29901956" TargetMode="External"/><Relationship Id="rId153" Type="http://schemas.openxmlformats.org/officeDocument/2006/relationships/hyperlink" Target="https://rice-financials.uaccess.arizona.edu/rice/kew/DocHandler.do?command=displayDocSearchView&amp;docId=30115321" TargetMode="External"/><Relationship Id="rId174" Type="http://schemas.openxmlformats.org/officeDocument/2006/relationships/hyperlink" Target="https://rice-financials.uaccess.arizona.edu/rice/kew/DocHandler.do?command=displayDocSearchView&amp;docId=28870552" TargetMode="External"/><Relationship Id="rId195" Type="http://schemas.openxmlformats.org/officeDocument/2006/relationships/hyperlink" Target="https://rice-financials.uaccess.arizona.edu/rice/kew/DocHandler.do?command=displayDocSearchView&amp;docId=28789770" TargetMode="External"/><Relationship Id="rId209" Type="http://schemas.openxmlformats.org/officeDocument/2006/relationships/hyperlink" Target="https://rice-financials.uaccess.arizona.edu/rice/kew/DocHandler.do?command=displayDocSearchView&amp;docId=28747292" TargetMode="External"/><Relationship Id="rId220" Type="http://schemas.openxmlformats.org/officeDocument/2006/relationships/hyperlink" Target="https://rice-financials.uaccess.arizona.edu/rice/kew/DocHandler.do?command=displayDocSearchView&amp;docId=28687838" TargetMode="External"/><Relationship Id="rId241" Type="http://schemas.openxmlformats.org/officeDocument/2006/relationships/hyperlink" Target="https://rice-financials.uaccess.arizona.edu/rice/kew/DocHandler.do?command=displayDocSearchView&amp;docId=28436214" TargetMode="External"/><Relationship Id="rId15" Type="http://schemas.openxmlformats.org/officeDocument/2006/relationships/hyperlink" Target="https://rice-financials.uaccess.arizona.edu/rice/kew/DocHandler.do?command=displayDocSearchView&amp;docId=29479806" TargetMode="External"/><Relationship Id="rId36" Type="http://schemas.openxmlformats.org/officeDocument/2006/relationships/hyperlink" Target="https://rice-financials.uaccess.arizona.edu/rice/kew/DocHandler.do?command=displayDocSearchView&amp;docId=29243530" TargetMode="External"/><Relationship Id="rId57" Type="http://schemas.openxmlformats.org/officeDocument/2006/relationships/hyperlink" Target="https://rice-financials.uaccess.arizona.edu/rice/kew/DocHandler.do?command=displayDocSearchView&amp;docId=29112621" TargetMode="External"/><Relationship Id="rId262" Type="http://schemas.openxmlformats.org/officeDocument/2006/relationships/hyperlink" Target="https://rice-financials.uaccess.arizona.edu/rice/kew/DocHandler.do?command=displayDocSearchView&amp;docId=30068209" TargetMode="External"/><Relationship Id="rId283" Type="http://schemas.openxmlformats.org/officeDocument/2006/relationships/hyperlink" Target="https://rice-financials.uaccess.arizona.edu/rice/kew/DocHandler.do?command=displayDocSearchView&amp;docId=29602131" TargetMode="External"/><Relationship Id="rId78" Type="http://schemas.openxmlformats.org/officeDocument/2006/relationships/hyperlink" Target="https://rice-financials.uaccess.arizona.edu/rice/kew/DocHandler.do?command=displayDocSearchView&amp;docId=29206717" TargetMode="External"/><Relationship Id="rId99" Type="http://schemas.openxmlformats.org/officeDocument/2006/relationships/hyperlink" Target="https://rice-financials.uaccess.arizona.edu/rice/kew/DocHandler.do?command=displayDocSearchView&amp;docId=30052292" TargetMode="External"/><Relationship Id="rId101" Type="http://schemas.openxmlformats.org/officeDocument/2006/relationships/hyperlink" Target="https://rice-financials.uaccess.arizona.edu/rice/kew/DocHandler.do?command=displayDocSearchView&amp;docId=29698929" TargetMode="External"/><Relationship Id="rId122" Type="http://schemas.openxmlformats.org/officeDocument/2006/relationships/hyperlink" Target="https://rice-financials.uaccess.arizona.edu/rice/kew/DocHandler.do?command=displayDocSearchView&amp;docId=28520287" TargetMode="External"/><Relationship Id="rId143" Type="http://schemas.openxmlformats.org/officeDocument/2006/relationships/hyperlink" Target="https://rice-financials.uaccess.arizona.edu/rice/kew/DocHandler.do?command=displayDocSearchView&amp;docId=31244553" TargetMode="External"/><Relationship Id="rId164" Type="http://schemas.openxmlformats.org/officeDocument/2006/relationships/hyperlink" Target="https://rice-financials.uaccess.arizona.edu/rice/kew/DocHandler.do?command=displayDocSearchView&amp;docId=28916499" TargetMode="External"/><Relationship Id="rId185" Type="http://schemas.openxmlformats.org/officeDocument/2006/relationships/hyperlink" Target="https://rice-financials.uaccess.arizona.edu/rice/kew/DocHandler.do?command=displayDocSearchView&amp;docId=28802232" TargetMode="External"/><Relationship Id="rId9" Type="http://schemas.openxmlformats.org/officeDocument/2006/relationships/hyperlink" Target="https://rice-financials.uaccess.arizona.edu/rice/kew/DocHandler.do?command=displayDocSearchView&amp;docId=29495940" TargetMode="External"/><Relationship Id="rId210" Type="http://schemas.openxmlformats.org/officeDocument/2006/relationships/hyperlink" Target="https://rice-financials.uaccess.arizona.edu/rice/kew/DocHandler.do?command=displayDocSearchView&amp;docId=28739546" TargetMode="External"/><Relationship Id="rId26" Type="http://schemas.openxmlformats.org/officeDocument/2006/relationships/hyperlink" Target="https://rice-financials.uaccess.arizona.edu/rice/kew/DocHandler.do?command=displayDocSearchView&amp;docId=29296415" TargetMode="External"/><Relationship Id="rId231" Type="http://schemas.openxmlformats.org/officeDocument/2006/relationships/hyperlink" Target="https://rice-financials.uaccess.arizona.edu/rice/kew/DocHandler.do?command=displayDocSearchView&amp;docId=28608443" TargetMode="External"/><Relationship Id="rId252" Type="http://schemas.openxmlformats.org/officeDocument/2006/relationships/hyperlink" Target="https://rice-financials.uaccess.arizona.edu/rice/kew/DocHandler.do?command=displayDocSearchView&amp;docId=28404694" TargetMode="External"/><Relationship Id="rId273" Type="http://schemas.openxmlformats.org/officeDocument/2006/relationships/hyperlink" Target="https://rice-financials.uaccess.arizona.edu/rice/kew/DocHandler.do?command=displayDocSearchView&amp;docId=29896521" TargetMode="External"/><Relationship Id="rId47" Type="http://schemas.openxmlformats.org/officeDocument/2006/relationships/hyperlink" Target="https://rice-financials.uaccess.arizona.edu/rice/kew/DocHandler.do?command=displayDocSearchView&amp;docId=29050045" TargetMode="External"/><Relationship Id="rId68" Type="http://schemas.openxmlformats.org/officeDocument/2006/relationships/hyperlink" Target="https://rice-financials.uaccess.arizona.edu/rice/kew/DocHandler.do?command=displayDocSearchView&amp;docId=29050046" TargetMode="External"/><Relationship Id="rId89" Type="http://schemas.openxmlformats.org/officeDocument/2006/relationships/hyperlink" Target="https://rice-financials.uaccess.arizona.edu/rice/kew/DocHandler.do?command=displayDocSearchView&amp;docId=753373" TargetMode="External"/><Relationship Id="rId112" Type="http://schemas.openxmlformats.org/officeDocument/2006/relationships/hyperlink" Target="https://rice-financials.uaccess.arizona.edu/rice/kew/DocHandler.do?command=displayDocSearchView&amp;docId=29698927" TargetMode="External"/><Relationship Id="rId133" Type="http://schemas.openxmlformats.org/officeDocument/2006/relationships/hyperlink" Target="https://rice-financials.uaccess.arizona.edu/rice/kew/DocHandler.do?command=displayDocSearchView&amp;docId=29875984" TargetMode="External"/><Relationship Id="rId154" Type="http://schemas.openxmlformats.org/officeDocument/2006/relationships/hyperlink" Target="https://rice-financials.uaccess.arizona.edu/rice/kew/DocHandler.do?command=displayDocSearchView&amp;docId=28982578" TargetMode="External"/><Relationship Id="rId175" Type="http://schemas.openxmlformats.org/officeDocument/2006/relationships/hyperlink" Target="https://rice-financials.uaccess.arizona.edu/rice/kew/DocHandler.do?command=displayDocSearchView&amp;docId=28870532" TargetMode="External"/><Relationship Id="rId196" Type="http://schemas.openxmlformats.org/officeDocument/2006/relationships/hyperlink" Target="https://rice-financials.uaccess.arizona.edu/rice/kew/DocHandler.do?command=displayDocSearchView&amp;docId=28779813" TargetMode="External"/><Relationship Id="rId200" Type="http://schemas.openxmlformats.org/officeDocument/2006/relationships/hyperlink" Target="https://rice-financials.uaccess.arizona.edu/rice/kew/DocHandler.do?command=displayDocSearchView&amp;docId=28760533" TargetMode="External"/><Relationship Id="rId16" Type="http://schemas.openxmlformats.org/officeDocument/2006/relationships/hyperlink" Target="https://rice-financials.uaccess.arizona.edu/rice/kew/DocHandler.do?command=displayDocSearchView&amp;docId=29463614" TargetMode="External"/><Relationship Id="rId221" Type="http://schemas.openxmlformats.org/officeDocument/2006/relationships/hyperlink" Target="https://rice-financials.uaccess.arizona.edu/rice/kew/DocHandler.do?command=displayDocSearchView&amp;docId=28652386" TargetMode="External"/><Relationship Id="rId242" Type="http://schemas.openxmlformats.org/officeDocument/2006/relationships/hyperlink" Target="https://rice-financials.uaccess.arizona.edu/rice/kew/DocHandler.do?command=displayDocSearchView&amp;docId=28436213" TargetMode="External"/><Relationship Id="rId263" Type="http://schemas.openxmlformats.org/officeDocument/2006/relationships/hyperlink" Target="https://rice-financials.uaccess.arizona.edu/rice/kew/DocHandler.do?command=displayDocSearchView&amp;docId=30033794" TargetMode="External"/><Relationship Id="rId284" Type="http://schemas.openxmlformats.org/officeDocument/2006/relationships/hyperlink" Target="https://rice-financials.uaccess.arizona.edu/rice/kew/DocHandler.do?command=displayDocSearchView&amp;docId=29592960" TargetMode="External"/><Relationship Id="rId37" Type="http://schemas.openxmlformats.org/officeDocument/2006/relationships/hyperlink" Target="https://rice-financials.uaccess.arizona.edu/rice/kew/DocHandler.do?command=displayDocSearchView&amp;docId=29232276" TargetMode="External"/><Relationship Id="rId58" Type="http://schemas.openxmlformats.org/officeDocument/2006/relationships/hyperlink" Target="https://rice-financials.uaccess.arizona.edu/rice/kew/DocHandler.do?command=displayDocSearchView&amp;docId=28357715" TargetMode="External"/><Relationship Id="rId79" Type="http://schemas.openxmlformats.org/officeDocument/2006/relationships/hyperlink" Target="https://rice-financials.uaccess.arizona.edu/rice/kew/DocHandler.do?command=displayDocSearchView&amp;docId=28709698" TargetMode="External"/><Relationship Id="rId102" Type="http://schemas.openxmlformats.org/officeDocument/2006/relationships/hyperlink" Target="https://rice-financials.uaccess.arizona.edu/rice/kew/DocHandler.do?command=displayDocSearchView&amp;docId=29669156" TargetMode="External"/><Relationship Id="rId123" Type="http://schemas.openxmlformats.org/officeDocument/2006/relationships/hyperlink" Target="https://rice-financials.uaccess.arizona.edu/rice/kew/DocHandler.do?command=displayDocSearchView&amp;docId=28520284" TargetMode="External"/><Relationship Id="rId144" Type="http://schemas.openxmlformats.org/officeDocument/2006/relationships/hyperlink" Target="https://rice-financials.uaccess.arizona.edu/rice/kew/DocHandler.do?command=displayDocSearchView&amp;docId=31240228" TargetMode="External"/><Relationship Id="rId90" Type="http://schemas.openxmlformats.org/officeDocument/2006/relationships/hyperlink" Target="https://rice-financials.uaccess.arizona.edu/rice/kew/DocHandler.do?command=displayDocSearchView&amp;docId=31362695" TargetMode="External"/><Relationship Id="rId165" Type="http://schemas.openxmlformats.org/officeDocument/2006/relationships/hyperlink" Target="https://rice-financials.uaccess.arizona.edu/rice/kew/DocHandler.do?command=displayDocSearchView&amp;docId=28916024" TargetMode="External"/><Relationship Id="rId186" Type="http://schemas.openxmlformats.org/officeDocument/2006/relationships/hyperlink" Target="https://rice-financials.uaccess.arizona.edu/rice/kew/DocHandler.do?command=displayDocSearchView&amp;docId=28774157" TargetMode="External"/><Relationship Id="rId211" Type="http://schemas.openxmlformats.org/officeDocument/2006/relationships/hyperlink" Target="https://rice-financials.uaccess.arizona.edu/rice/kew/DocHandler.do?command=displayDocSearchView&amp;docId=28736212" TargetMode="External"/><Relationship Id="rId232" Type="http://schemas.openxmlformats.org/officeDocument/2006/relationships/hyperlink" Target="https://rice-financials.uaccess.arizona.edu/rice/kew/DocHandler.do?command=displayDocSearchView&amp;docId=28565374" TargetMode="External"/><Relationship Id="rId253" Type="http://schemas.openxmlformats.org/officeDocument/2006/relationships/hyperlink" Target="https://rice-financials.uaccess.arizona.edu/rice/kew/DocHandler.do?command=displayDocSearchView&amp;docId=30052293" TargetMode="External"/><Relationship Id="rId274" Type="http://schemas.openxmlformats.org/officeDocument/2006/relationships/hyperlink" Target="https://rice-financials.uaccess.arizona.edu/rice/kew/DocHandler.do?command=displayDocSearchView&amp;docId=29854320" TargetMode="External"/><Relationship Id="rId27" Type="http://schemas.openxmlformats.org/officeDocument/2006/relationships/hyperlink" Target="https://rice-financials.uaccess.arizona.edu/rice/kew/DocHandler.do?command=displayDocSearchView&amp;docId=29296414" TargetMode="External"/><Relationship Id="rId48" Type="http://schemas.openxmlformats.org/officeDocument/2006/relationships/hyperlink" Target="https://rice-financials.uaccess.arizona.edu/rice/kew/DocHandler.do?command=displayDocSearchView&amp;docId=29180317" TargetMode="External"/><Relationship Id="rId69" Type="http://schemas.openxmlformats.org/officeDocument/2006/relationships/hyperlink" Target="https://rice-financials.uaccess.arizona.edu/rice/kew/DocHandler.do?command=displayDocSearchView&amp;docId=31553281" TargetMode="External"/><Relationship Id="rId113" Type="http://schemas.openxmlformats.org/officeDocument/2006/relationships/hyperlink" Target="https://rice-financials.uaccess.arizona.edu/rice/kew/DocHandler.do?command=displayDocSearchView&amp;docId=29495718" TargetMode="External"/><Relationship Id="rId134" Type="http://schemas.openxmlformats.org/officeDocument/2006/relationships/hyperlink" Target="https://rice-financials.uaccess.arizona.edu/rice/kew/DocHandler.do?command=displayDocSearchView&amp;docId=29296412" TargetMode="External"/><Relationship Id="rId80" Type="http://schemas.openxmlformats.org/officeDocument/2006/relationships/hyperlink" Target="https://rice-financials.uaccess.arizona.edu/rice/kew/DocHandler.do?command=displayDocSearchView&amp;docId=31553281" TargetMode="External"/><Relationship Id="rId155" Type="http://schemas.openxmlformats.org/officeDocument/2006/relationships/hyperlink" Target="https://rice-financials.uaccess.arizona.edu/rice/kew/DocHandler.do?command=displayDocSearchView&amp;docId=28955390" TargetMode="External"/><Relationship Id="rId176" Type="http://schemas.openxmlformats.org/officeDocument/2006/relationships/hyperlink" Target="https://rice-financials.uaccess.arizona.edu/rice/kew/DocHandler.do?command=displayDocSearchView&amp;docId=28870515" TargetMode="External"/><Relationship Id="rId197" Type="http://schemas.openxmlformats.org/officeDocument/2006/relationships/hyperlink" Target="https://rice-financials.uaccess.arizona.edu/rice/kew/DocHandler.do?command=displayDocSearchView&amp;docId=28760791" TargetMode="External"/><Relationship Id="rId201" Type="http://schemas.openxmlformats.org/officeDocument/2006/relationships/hyperlink" Target="https://rice-financials.uaccess.arizona.edu/rice/kew/DocHandler.do?command=displayDocSearchView&amp;docId=28760473" TargetMode="External"/><Relationship Id="rId222" Type="http://schemas.openxmlformats.org/officeDocument/2006/relationships/hyperlink" Target="https://rice-financials.uaccess.arizona.edu/rice/kew/DocHandler.do?command=displayDocSearchView&amp;docId=28611795" TargetMode="External"/><Relationship Id="rId243" Type="http://schemas.openxmlformats.org/officeDocument/2006/relationships/hyperlink" Target="https://rice-financials.uaccess.arizona.edu/rice/kew/DocHandler.do?command=displayDocSearchView&amp;docId=28436212" TargetMode="External"/><Relationship Id="rId264" Type="http://schemas.openxmlformats.org/officeDocument/2006/relationships/hyperlink" Target="https://rice-financials.uaccess.arizona.edu/rice/kew/DocHandler.do?command=displayDocSearchView&amp;docId=30033763" TargetMode="External"/><Relationship Id="rId285" Type="http://schemas.openxmlformats.org/officeDocument/2006/relationships/hyperlink" Target="https://rice-financials.uaccess.arizona.edu/rice/kew/DocHandler.do?command=displayDocSearchView&amp;docId=29592389" TargetMode="External"/><Relationship Id="rId17" Type="http://schemas.openxmlformats.org/officeDocument/2006/relationships/hyperlink" Target="https://rice-financials.uaccess.arizona.edu/rice/kew/DocHandler.do?command=displayDocSearchView&amp;docId=29463594" TargetMode="External"/><Relationship Id="rId38" Type="http://schemas.openxmlformats.org/officeDocument/2006/relationships/hyperlink" Target="https://rice-financials.uaccess.arizona.edu/rice/kew/DocHandler.do?command=displayDocSearchView&amp;docId=29205481" TargetMode="External"/><Relationship Id="rId59" Type="http://schemas.openxmlformats.org/officeDocument/2006/relationships/hyperlink" Target="https://rice-financials.uaccess.arizona.edu/rice/kew/DocHandler.do?command=displayDocSearchView&amp;docId=28357714" TargetMode="External"/><Relationship Id="rId103" Type="http://schemas.openxmlformats.org/officeDocument/2006/relationships/hyperlink" Target="https://rice-financials.uaccess.arizona.edu/rice/kew/DocHandler.do?command=displayDocSearchView&amp;docId=29559908" TargetMode="External"/><Relationship Id="rId124" Type="http://schemas.openxmlformats.org/officeDocument/2006/relationships/hyperlink" Target="https://rice-financials.uaccess.arizona.edu/rice/kew/DocHandler.do?command=displayDocSearchView&amp;docId=31553281" TargetMode="External"/><Relationship Id="rId70" Type="http://schemas.openxmlformats.org/officeDocument/2006/relationships/hyperlink" Target="https://rice-financials.uaccess.arizona.edu/rice/kew/DocHandler.do?command=displayDocSearchView&amp;docId=30080134" TargetMode="External"/><Relationship Id="rId91" Type="http://schemas.openxmlformats.org/officeDocument/2006/relationships/hyperlink" Target="https://rice-financials.uaccess.arizona.edu/rice/kew/DocHandler.do?command=displayDocSearchView&amp;docId=31258591" TargetMode="External"/><Relationship Id="rId145" Type="http://schemas.openxmlformats.org/officeDocument/2006/relationships/hyperlink" Target="https://rice-financials.uaccess.arizona.edu/rice/kew/DocHandler.do?command=displayDocSearchView&amp;docId=31220062" TargetMode="External"/><Relationship Id="rId166" Type="http://schemas.openxmlformats.org/officeDocument/2006/relationships/hyperlink" Target="https://rice-financials.uaccess.arizona.edu/rice/kew/DocHandler.do?command=displayDocSearchView&amp;docId=28917782" TargetMode="External"/><Relationship Id="rId187" Type="http://schemas.openxmlformats.org/officeDocument/2006/relationships/hyperlink" Target="https://rice-financials.uaccess.arizona.edu/rice/kew/DocHandler.do?command=displayDocSearchView&amp;docId=28711058" TargetMode="External"/><Relationship Id="rId1" Type="http://schemas.openxmlformats.org/officeDocument/2006/relationships/hyperlink" Target="https://rice-financials.uaccess.arizona.edu/rice/kew/DocHandler.do?command=displayDocSearchView&amp;docId=29551031" TargetMode="External"/><Relationship Id="rId212" Type="http://schemas.openxmlformats.org/officeDocument/2006/relationships/hyperlink" Target="https://rice-financials.uaccess.arizona.edu/rice/kew/DocHandler.do?command=displayDocSearchView&amp;docId=28734487" TargetMode="External"/><Relationship Id="rId233" Type="http://schemas.openxmlformats.org/officeDocument/2006/relationships/hyperlink" Target="https://rice-financials.uaccess.arizona.edu/rice/kew/DocHandler.do?command=displayDocSearchView&amp;docId=28565172" TargetMode="External"/><Relationship Id="rId254" Type="http://schemas.openxmlformats.org/officeDocument/2006/relationships/hyperlink" Target="https://rice-financials.uaccess.arizona.edu/rice/kew/DocHandler.do?command=displayDocSearchView&amp;docId=30052290" TargetMode="External"/><Relationship Id="rId28" Type="http://schemas.openxmlformats.org/officeDocument/2006/relationships/hyperlink" Target="https://rice-financials.uaccess.arizona.edu/rice/kew/DocHandler.do?command=displayDocSearchView&amp;docId=29296413" TargetMode="External"/><Relationship Id="rId49" Type="http://schemas.openxmlformats.org/officeDocument/2006/relationships/hyperlink" Target="https://rice-financials.uaccess.arizona.edu/rice/kew/DocHandler.do?command=displayDocSearchView&amp;docId=29179668" TargetMode="External"/><Relationship Id="rId114" Type="http://schemas.openxmlformats.org/officeDocument/2006/relationships/hyperlink" Target="https://rice-financials.uaccess.arizona.edu/rice/kew/DocHandler.do?command=displayDocSearchView&amp;docId=29483535" TargetMode="External"/><Relationship Id="rId275" Type="http://schemas.openxmlformats.org/officeDocument/2006/relationships/hyperlink" Target="https://rice-financials.uaccess.arizona.edu/rice/kew/DocHandler.do?command=displayDocSearchView&amp;docId=29698930" TargetMode="External"/><Relationship Id="rId60" Type="http://schemas.openxmlformats.org/officeDocument/2006/relationships/hyperlink" Target="https://rice-financials.uaccess.arizona.edu/rice/kew/DocHandler.do?command=displayDocSearchView&amp;docId=28357712" TargetMode="External"/><Relationship Id="rId81" Type="http://schemas.openxmlformats.org/officeDocument/2006/relationships/hyperlink" Target="https://rice-financials.uaccess.arizona.edu/rice/kew/DocHandler.do?command=displayDocSearchView&amp;docId=29652192" TargetMode="External"/><Relationship Id="rId135" Type="http://schemas.openxmlformats.org/officeDocument/2006/relationships/hyperlink" Target="https://rice-financials.uaccess.arizona.edu/rice/kew/DocHandler.do?command=displayDocSearchView&amp;docId=28709699" TargetMode="External"/><Relationship Id="rId156" Type="http://schemas.openxmlformats.org/officeDocument/2006/relationships/hyperlink" Target="https://rice-financials.uaccess.arizona.edu/rice/kew/DocHandler.do?command=displayDocSearchView&amp;docId=28995503" TargetMode="External"/><Relationship Id="rId177" Type="http://schemas.openxmlformats.org/officeDocument/2006/relationships/hyperlink" Target="https://rice-financials.uaccess.arizona.edu/rice/kew/DocHandler.do?command=displayDocSearchView&amp;docId=28870470" TargetMode="External"/><Relationship Id="rId198" Type="http://schemas.openxmlformats.org/officeDocument/2006/relationships/hyperlink" Target="https://rice-financials.uaccess.arizona.edu/rice/kew/DocHandler.do?command=displayDocSearchView&amp;docId=28760741" TargetMode="External"/><Relationship Id="rId202" Type="http://schemas.openxmlformats.org/officeDocument/2006/relationships/hyperlink" Target="https://rice-financials.uaccess.arizona.edu/rice/kew/DocHandler.do?command=displayDocSearchView&amp;docId=28760364" TargetMode="External"/><Relationship Id="rId223" Type="http://schemas.openxmlformats.org/officeDocument/2006/relationships/hyperlink" Target="https://rice-financials.uaccess.arizona.edu/rice/kew/DocHandler.do?command=displayDocSearchView&amp;docId=28573256" TargetMode="External"/><Relationship Id="rId244" Type="http://schemas.openxmlformats.org/officeDocument/2006/relationships/hyperlink" Target="https://rice-financials.uaccess.arizona.edu/rice/kew/DocHandler.do?command=displayDocSearchView&amp;docId=28520747" TargetMode="External"/><Relationship Id="rId18" Type="http://schemas.openxmlformats.org/officeDocument/2006/relationships/hyperlink" Target="https://rice-financials.uaccess.arizona.edu/rice/kew/DocHandler.do?command=displayDocSearchView&amp;docId=29463576" TargetMode="External"/><Relationship Id="rId39" Type="http://schemas.openxmlformats.org/officeDocument/2006/relationships/hyperlink" Target="https://rice-financials.uaccess.arizona.edu/rice/kew/DocHandler.do?command=displayDocSearchView&amp;docId=29205480" TargetMode="External"/><Relationship Id="rId265" Type="http://schemas.openxmlformats.org/officeDocument/2006/relationships/hyperlink" Target="https://rice-financials.uaccess.arizona.edu/rice/kew/DocHandler.do?command=displayDocSearchView&amp;docId=30020050" TargetMode="External"/><Relationship Id="rId286" Type="http://schemas.openxmlformats.org/officeDocument/2006/relationships/hyperlink" Target="https://rice-financials.uaccess.arizona.edu/rice/kew/DocHandler.do?command=displayDocSearchView&amp;docId=29579370" TargetMode="External"/><Relationship Id="rId50" Type="http://schemas.openxmlformats.org/officeDocument/2006/relationships/hyperlink" Target="https://rice-financials.uaccess.arizona.edu/rice/kew/DocHandler.do?command=displayDocSearchView&amp;docId=29050047" TargetMode="External"/><Relationship Id="rId104" Type="http://schemas.openxmlformats.org/officeDocument/2006/relationships/hyperlink" Target="https://rice-financials.uaccess.arizona.edu/rice/kew/DocHandler.do?command=displayDocSearchView&amp;docId=29559907" TargetMode="External"/><Relationship Id="rId125" Type="http://schemas.openxmlformats.org/officeDocument/2006/relationships/hyperlink" Target="https://rice-financials.uaccess.arizona.edu/rice/kew/DocHandler.do?command=displayDocSearchView&amp;docId=30296188" TargetMode="External"/><Relationship Id="rId146" Type="http://schemas.openxmlformats.org/officeDocument/2006/relationships/hyperlink" Target="https://rice-financials.uaccess.arizona.edu/rice/kew/DocHandler.do?command=displayDocSearchView&amp;docId=30735803" TargetMode="External"/><Relationship Id="rId167" Type="http://schemas.openxmlformats.org/officeDocument/2006/relationships/hyperlink" Target="https://rice-financials.uaccess.arizona.edu/rice/kew/DocHandler.do?command=displayDocSearchView&amp;docId=28922127" TargetMode="External"/><Relationship Id="rId188" Type="http://schemas.openxmlformats.org/officeDocument/2006/relationships/hyperlink" Target="https://rice-financials.uaccess.arizona.edu/rice/kew/DocHandler.do?command=displayDocSearchView&amp;docId=28711056" TargetMode="External"/><Relationship Id="rId71" Type="http://schemas.openxmlformats.org/officeDocument/2006/relationships/hyperlink" Target="https://rice-financials.uaccess.arizona.edu/rice/kew/DocHandler.do?command=displayDocSearchView&amp;docId=29935945" TargetMode="External"/><Relationship Id="rId92" Type="http://schemas.openxmlformats.org/officeDocument/2006/relationships/hyperlink" Target="https://rice-financials.uaccess.arizona.edu/rice/kew/DocHandler.do?command=displayDocSearchView&amp;docId=31362695" TargetMode="External"/><Relationship Id="rId213" Type="http://schemas.openxmlformats.org/officeDocument/2006/relationships/hyperlink" Target="https://rice-financials.uaccess.arizona.edu/rice/kew/DocHandler.do?command=displayDocSearchView&amp;docId=28734458" TargetMode="External"/><Relationship Id="rId234" Type="http://schemas.openxmlformats.org/officeDocument/2006/relationships/hyperlink" Target="https://rice-financials.uaccess.arizona.edu/rice/kew/DocHandler.do?command=displayDocSearchView&amp;docId=28549850" TargetMode="External"/><Relationship Id="rId2" Type="http://schemas.openxmlformats.org/officeDocument/2006/relationships/hyperlink" Target="https://rice-financials.uaccess.arizona.edu/rice/kew/DocHandler.do?command=displayDocSearchView&amp;docId=29548622" TargetMode="External"/><Relationship Id="rId29" Type="http://schemas.openxmlformats.org/officeDocument/2006/relationships/hyperlink" Target="https://rice-financials.uaccess.arizona.edu/rice/kew/DocHandler.do?command=displayDocSearchView&amp;docId=29268678" TargetMode="External"/><Relationship Id="rId255" Type="http://schemas.openxmlformats.org/officeDocument/2006/relationships/hyperlink" Target="https://rice-financials.uaccess.arizona.edu/rice/kew/DocHandler.do?command=displayDocSearchView&amp;docId=30025428" TargetMode="External"/><Relationship Id="rId276" Type="http://schemas.openxmlformats.org/officeDocument/2006/relationships/hyperlink" Target="https://rice-financials.uaccess.arizona.edu/rice/kew/DocHandler.do?command=displayDocSearchView&amp;docId=29698928" TargetMode="External"/><Relationship Id="rId40" Type="http://schemas.openxmlformats.org/officeDocument/2006/relationships/hyperlink" Target="https://rice-financials.uaccess.arizona.edu/rice/kew/DocHandler.do?command=displayDocSearchView&amp;docId=29173180" TargetMode="External"/><Relationship Id="rId115" Type="http://schemas.openxmlformats.org/officeDocument/2006/relationships/hyperlink" Target="https://rice-financials.uaccess.arizona.edu/rice/kew/DocHandler.do?command=displayDocSearchView&amp;docId=28696849" TargetMode="External"/><Relationship Id="rId136" Type="http://schemas.openxmlformats.org/officeDocument/2006/relationships/hyperlink" Target="https://rice-financials.uaccess.arizona.edu/rice/kew/DocHandler.do?command=displayDocSearchView&amp;docId=28531583" TargetMode="External"/><Relationship Id="rId157" Type="http://schemas.openxmlformats.org/officeDocument/2006/relationships/hyperlink" Target="https://rice-financials.uaccess.arizona.edu/rice/kew/DocHandler.do?command=displayDocSearchView&amp;docId=28990133" TargetMode="External"/><Relationship Id="rId178" Type="http://schemas.openxmlformats.org/officeDocument/2006/relationships/hyperlink" Target="https://rice-financials.uaccess.arizona.edu/rice/kew/DocHandler.do?command=displayDocSearchView&amp;docId=28870453" TargetMode="External"/><Relationship Id="rId61" Type="http://schemas.openxmlformats.org/officeDocument/2006/relationships/hyperlink" Target="https://rice-financials.uaccess.arizona.edu/rice/kew/DocHandler.do?command=displayDocSearchView&amp;docId=28337566" TargetMode="External"/><Relationship Id="rId82" Type="http://schemas.openxmlformats.org/officeDocument/2006/relationships/hyperlink" Target="https://rice-financials.uaccess.arizona.edu/rice/kew/DocHandler.do?command=displayDocSearchView&amp;docId=31553281" TargetMode="External"/><Relationship Id="rId199" Type="http://schemas.openxmlformats.org/officeDocument/2006/relationships/hyperlink" Target="https://rice-financials.uaccess.arizona.edu/rice/kew/DocHandler.do?command=displayDocSearchView&amp;docId=28760648" TargetMode="External"/><Relationship Id="rId203" Type="http://schemas.openxmlformats.org/officeDocument/2006/relationships/hyperlink" Target="https://rice-financials.uaccess.arizona.edu/rice/kew/DocHandler.do?command=displayDocSearchView&amp;docId=28760237" TargetMode="External"/><Relationship Id="rId19" Type="http://schemas.openxmlformats.org/officeDocument/2006/relationships/hyperlink" Target="https://rice-financials.uaccess.arizona.edu/rice/kew/DocHandler.do?command=displayDocSearchView&amp;docId=29463479" TargetMode="External"/><Relationship Id="rId224" Type="http://schemas.openxmlformats.org/officeDocument/2006/relationships/hyperlink" Target="https://rice-financials.uaccess.arizona.edu/rice/kew/DocHandler.do?command=displayDocSearchView&amp;docId=28563910" TargetMode="External"/><Relationship Id="rId245" Type="http://schemas.openxmlformats.org/officeDocument/2006/relationships/hyperlink" Target="https://rice-financials.uaccess.arizona.edu/rice/kew/DocHandler.do?command=displayDocSearchView&amp;docId=28501897" TargetMode="External"/><Relationship Id="rId266" Type="http://schemas.openxmlformats.org/officeDocument/2006/relationships/hyperlink" Target="https://rice-financials.uaccess.arizona.edu/rice/kew/DocHandler.do?command=displayDocSearchView&amp;docId=30004573" TargetMode="External"/><Relationship Id="rId287" Type="http://schemas.openxmlformats.org/officeDocument/2006/relationships/hyperlink" Target="https://rice-financials.uaccess.arizona.edu/rice/kew/DocHandler.do?command=displayDocSearchView&amp;docId=29560846" TargetMode="External"/><Relationship Id="rId30" Type="http://schemas.openxmlformats.org/officeDocument/2006/relationships/hyperlink" Target="https://rice-financials.uaccess.arizona.edu/rice/kew/DocHandler.do?command=displayDocSearchView&amp;docId=29268677" TargetMode="External"/><Relationship Id="rId105" Type="http://schemas.openxmlformats.org/officeDocument/2006/relationships/hyperlink" Target="https://rice-financials.uaccess.arizona.edu/rice/kew/DocHandler.do?command=displayDocSearchView&amp;docId=29546913" TargetMode="External"/><Relationship Id="rId126" Type="http://schemas.openxmlformats.org/officeDocument/2006/relationships/hyperlink" Target="https://rice-financials.uaccess.arizona.edu/rice/kew/DocHandler.do?command=displayDocSearchView&amp;docId=31553281" TargetMode="External"/><Relationship Id="rId147" Type="http://schemas.openxmlformats.org/officeDocument/2006/relationships/hyperlink" Target="https://rice-financials.uaccess.arizona.edu/rice/kew/DocHandler.do?command=displayDocSearchView&amp;docId=30589631" TargetMode="External"/><Relationship Id="rId168" Type="http://schemas.openxmlformats.org/officeDocument/2006/relationships/hyperlink" Target="https://rice-financials.uaccess.arizona.edu/rice/kew/DocHandler.do?command=displayDocSearchView&amp;docId=28911261" TargetMode="External"/><Relationship Id="rId51" Type="http://schemas.openxmlformats.org/officeDocument/2006/relationships/hyperlink" Target="https://rice-financials.uaccess.arizona.edu/rice/kew/DocHandler.do?command=displayDocSearchView&amp;docId=29162218" TargetMode="External"/><Relationship Id="rId72" Type="http://schemas.openxmlformats.org/officeDocument/2006/relationships/hyperlink" Target="https://rice-financials.uaccess.arizona.edu/rice/kew/DocHandler.do?command=displayDocSearchView&amp;docId=29912447" TargetMode="External"/><Relationship Id="rId93" Type="http://schemas.openxmlformats.org/officeDocument/2006/relationships/hyperlink" Target="https://rice-financials.uaccess.arizona.edu/rice/kew/DocHandler.do?command=displayDocSearchView&amp;docId=29166991" TargetMode="External"/><Relationship Id="rId189" Type="http://schemas.openxmlformats.org/officeDocument/2006/relationships/hyperlink" Target="https://rice-financials.uaccess.arizona.edu/rice/kew/DocHandler.do?command=displayDocSearchView&amp;docId=28696849" TargetMode="External"/><Relationship Id="rId3" Type="http://schemas.openxmlformats.org/officeDocument/2006/relationships/hyperlink" Target="https://rice-financials.uaccess.arizona.edu/rice/kew/DocHandler.do?command=displayDocSearchView&amp;docId=29545502" TargetMode="External"/><Relationship Id="rId214" Type="http://schemas.openxmlformats.org/officeDocument/2006/relationships/hyperlink" Target="https://rice-financials.uaccess.arizona.edu/rice/kew/DocHandler.do?command=displayDocSearchView&amp;docId=28734443" TargetMode="External"/><Relationship Id="rId235" Type="http://schemas.openxmlformats.org/officeDocument/2006/relationships/hyperlink" Target="https://rice-financials.uaccess.arizona.edu/rice/kew/DocHandler.do?command=displayDocSearchView&amp;docId=28544708" TargetMode="External"/><Relationship Id="rId256" Type="http://schemas.openxmlformats.org/officeDocument/2006/relationships/hyperlink" Target="https://rice-financials.uaccess.arizona.edu/rice/kew/DocHandler.do?command=displayDocSearchView&amp;docId=30025427" TargetMode="External"/><Relationship Id="rId277" Type="http://schemas.openxmlformats.org/officeDocument/2006/relationships/hyperlink" Target="https://rice-financials.uaccess.arizona.edu/rice/kew/DocHandler.do?command=displayDocSearchView&amp;docId=29698927" TargetMode="External"/><Relationship Id="rId116" Type="http://schemas.openxmlformats.org/officeDocument/2006/relationships/hyperlink" Target="https://rice-financials.uaccess.arizona.edu/rice/kew/DocHandler.do?command=displayDocSearchView&amp;docId=28520284" TargetMode="External"/><Relationship Id="rId137" Type="http://schemas.openxmlformats.org/officeDocument/2006/relationships/hyperlink" Target="https://rice-financials.uaccess.arizona.edu/rice/kew/DocHandler.do?command=displayDocSearchView&amp;docId=28520287" TargetMode="External"/><Relationship Id="rId158" Type="http://schemas.openxmlformats.org/officeDocument/2006/relationships/hyperlink" Target="https://rice-financials.uaccess.arizona.edu/rice/kew/DocHandler.do?command=displayDocSearchView&amp;docId=28984439" TargetMode="External"/><Relationship Id="rId20" Type="http://schemas.openxmlformats.org/officeDocument/2006/relationships/hyperlink" Target="https://rice-financials.uaccess.arizona.edu/rice/kew/DocHandler.do?command=displayDocSearchView&amp;docId=29463458" TargetMode="External"/><Relationship Id="rId41" Type="http://schemas.openxmlformats.org/officeDocument/2006/relationships/hyperlink" Target="https://rice-financials.uaccess.arizona.edu/rice/kew/DocHandler.do?command=displayDocSearchView&amp;docId=29284943" TargetMode="External"/><Relationship Id="rId62" Type="http://schemas.openxmlformats.org/officeDocument/2006/relationships/hyperlink" Target="https://rice-financials.uaccess.arizona.edu/rice/kew/DocHandler.do?command=displayDocSearchView&amp;docId=28368109" TargetMode="External"/><Relationship Id="rId83" Type="http://schemas.openxmlformats.org/officeDocument/2006/relationships/hyperlink" Target="https://rice-financials.uaccess.arizona.edu/rice/kew/DocHandler.do?command=displayDocSearchView&amp;docId=29669157" TargetMode="External"/><Relationship Id="rId179" Type="http://schemas.openxmlformats.org/officeDocument/2006/relationships/hyperlink" Target="https://rice-financials.uaccess.arizona.edu/rice/kew/DocHandler.do?command=displayDocSearchView&amp;docId=28870437" TargetMode="External"/><Relationship Id="rId190" Type="http://schemas.openxmlformats.org/officeDocument/2006/relationships/hyperlink" Target="https://rice-financials.uaccess.arizona.edu/rice/kew/DocHandler.do?command=displayDocSearchView&amp;docId=28819842" TargetMode="External"/><Relationship Id="rId204" Type="http://schemas.openxmlformats.org/officeDocument/2006/relationships/hyperlink" Target="https://rice-financials.uaccess.arizona.edu/rice/kew/DocHandler.do?command=displayDocSearchView&amp;docId=28760231" TargetMode="External"/><Relationship Id="rId225" Type="http://schemas.openxmlformats.org/officeDocument/2006/relationships/hyperlink" Target="https://rice-financials.uaccess.arizona.edu/rice/kew/DocHandler.do?command=displayDocSearchView&amp;docId=28531582" TargetMode="External"/><Relationship Id="rId246" Type="http://schemas.openxmlformats.org/officeDocument/2006/relationships/hyperlink" Target="https://rice-financials.uaccess.arizona.edu/rice/kew/DocHandler.do?command=displayDocSearchView&amp;docId=28502807" TargetMode="External"/><Relationship Id="rId267" Type="http://schemas.openxmlformats.org/officeDocument/2006/relationships/hyperlink" Target="https://rice-financials.uaccess.arizona.edu/rice/kew/DocHandler.do?command=displayDocSearchView&amp;docId=29963483" TargetMode="External"/><Relationship Id="rId288" Type="http://schemas.openxmlformats.org/officeDocument/2006/relationships/hyperlink" Target="https://rice-financials.uaccess.arizona.edu/rice/kew/DocHandler.do?command=displayDocSearchView&amp;docId=29560827" TargetMode="External"/><Relationship Id="rId106" Type="http://schemas.openxmlformats.org/officeDocument/2006/relationships/hyperlink" Target="https://rice-financials.uaccess.arizona.edu/rice/kew/DocHandler.do?command=displayDocSearchView&amp;docId=29173179" TargetMode="External"/><Relationship Id="rId127" Type="http://schemas.openxmlformats.org/officeDocument/2006/relationships/hyperlink" Target="https://rice-financials.uaccess.arizona.edu/rice/kew/DocHandler.do?command=displayDocSearchView&amp;docId=31009677" TargetMode="External"/><Relationship Id="rId10" Type="http://schemas.openxmlformats.org/officeDocument/2006/relationships/hyperlink" Target="https://rice-financials.uaccess.arizona.edu/rice/kew/DocHandler.do?command=displayDocSearchView&amp;docId=29483955" TargetMode="External"/><Relationship Id="rId31" Type="http://schemas.openxmlformats.org/officeDocument/2006/relationships/hyperlink" Target="https://rice-financials.uaccess.arizona.edu/rice/kew/DocHandler.do?command=displayDocSearchView&amp;docId=29268676" TargetMode="External"/><Relationship Id="rId52" Type="http://schemas.openxmlformats.org/officeDocument/2006/relationships/hyperlink" Target="https://rice-financials.uaccess.arizona.edu/rice/kew/DocHandler.do?command=displayDocSearchView&amp;docId=29153110" TargetMode="External"/><Relationship Id="rId73" Type="http://schemas.openxmlformats.org/officeDocument/2006/relationships/hyperlink" Target="https://rice-financials.uaccess.arizona.edu/rice/kew/DocHandler.do?command=displayDocSearchView&amp;docId=29862491" TargetMode="External"/><Relationship Id="rId94" Type="http://schemas.openxmlformats.org/officeDocument/2006/relationships/hyperlink" Target="https://rice-financials.uaccess.arizona.edu/rice/kew/DocHandler.do?command=displayDocSearchView&amp;docId=28357713" TargetMode="External"/><Relationship Id="rId148" Type="http://schemas.openxmlformats.org/officeDocument/2006/relationships/hyperlink" Target="https://rice-financials.uaccess.arizona.edu/rice/kew/DocHandler.do?command=displayDocSearchView&amp;docId=30246520" TargetMode="External"/><Relationship Id="rId169" Type="http://schemas.openxmlformats.org/officeDocument/2006/relationships/hyperlink" Target="https://rice-financials.uaccess.arizona.edu/rice/kew/DocHandler.do?command=displayDocSearchView&amp;docId=28902544" TargetMode="External"/><Relationship Id="rId4" Type="http://schemas.openxmlformats.org/officeDocument/2006/relationships/hyperlink" Target="https://rice-financials.uaccess.arizona.edu/rice/kew/DocHandler.do?command=displayDocSearchView&amp;docId=29545347" TargetMode="External"/><Relationship Id="rId180" Type="http://schemas.openxmlformats.org/officeDocument/2006/relationships/hyperlink" Target="https://rice-financials.uaccess.arizona.edu/rice/kew/DocHandler.do?command=displayDocSearchView&amp;docId=28870407" TargetMode="External"/><Relationship Id="rId215" Type="http://schemas.openxmlformats.org/officeDocument/2006/relationships/hyperlink" Target="https://rice-financials.uaccess.arizona.edu/rice/kew/DocHandler.do?command=displayDocSearchView&amp;docId=28734427" TargetMode="External"/><Relationship Id="rId236" Type="http://schemas.openxmlformats.org/officeDocument/2006/relationships/hyperlink" Target="https://rice-financials.uaccess.arizona.edu/rice/kew/DocHandler.do?command=displayDocSearchView&amp;docId=28553373" TargetMode="External"/><Relationship Id="rId257" Type="http://schemas.openxmlformats.org/officeDocument/2006/relationships/hyperlink" Target="https://rice-financials.uaccess.arizona.edu/rice/kew/DocHandler.do?command=displayDocSearchView&amp;docId=30162460" TargetMode="External"/><Relationship Id="rId278" Type="http://schemas.openxmlformats.org/officeDocument/2006/relationships/hyperlink" Target="https://rice-financials.uaccess.arizona.edu/rice/kew/DocHandler.do?command=displayDocSearchView&amp;docId=29698926" TargetMode="External"/><Relationship Id="rId42" Type="http://schemas.openxmlformats.org/officeDocument/2006/relationships/hyperlink" Target="https://rice-financials.uaccess.arizona.edu/rice/kew/DocHandler.do?command=displayDocSearchView&amp;docId=29226192" TargetMode="External"/><Relationship Id="rId84" Type="http://schemas.openxmlformats.org/officeDocument/2006/relationships/hyperlink" Target="https://rice-financials.uaccess.arizona.edu/rice/kew/DocHandler.do?command=displayDocSearchView&amp;docId=31553281" TargetMode="External"/><Relationship Id="rId138" Type="http://schemas.openxmlformats.org/officeDocument/2006/relationships/hyperlink" Target="https://rice-financials.uaccess.arizona.edu/rice/kew/DocHandler.do?command=displayDocSearchView&amp;docId=31553281" TargetMode="External"/><Relationship Id="rId191" Type="http://schemas.openxmlformats.org/officeDocument/2006/relationships/hyperlink" Target="https://rice-financials.uaccess.arizona.edu/rice/kew/DocHandler.do?command=displayDocSearchView&amp;docId=28817032" TargetMode="External"/><Relationship Id="rId205" Type="http://schemas.openxmlformats.org/officeDocument/2006/relationships/hyperlink" Target="https://rice-financials.uaccess.arizona.edu/rice/kew/DocHandler.do?command=displayDocSearchView&amp;docId=28760224" TargetMode="External"/><Relationship Id="rId247" Type="http://schemas.openxmlformats.org/officeDocument/2006/relationships/hyperlink" Target="https://rice-financials.uaccess.arizona.edu/rice/kew/DocHandler.do?command=displayDocSearchView&amp;docId=28501262" TargetMode="External"/><Relationship Id="rId107" Type="http://schemas.openxmlformats.org/officeDocument/2006/relationships/hyperlink" Target="https://rice-financials.uaccess.arizona.edu/rice/kew/DocHandler.do?command=displayDocSearchView&amp;docId=30053587" TargetMode="External"/><Relationship Id="rId289" Type="http://schemas.openxmlformats.org/officeDocument/2006/relationships/hyperlink" Target="https://rice-financials.uaccess.arizona.edu/rice/kew/DocHandler.do?command=displayDocSearchView&amp;docId=29495718" TargetMode="External"/><Relationship Id="rId11" Type="http://schemas.openxmlformats.org/officeDocument/2006/relationships/hyperlink" Target="https://rice-financials.uaccess.arizona.edu/rice/kew/DocHandler.do?command=displayDocSearchView&amp;docId=29483647" TargetMode="External"/><Relationship Id="rId53" Type="http://schemas.openxmlformats.org/officeDocument/2006/relationships/hyperlink" Target="https://rice-financials.uaccess.arizona.edu/rice/kew/DocHandler.do?command=displayDocSearchView&amp;docId=29153095" TargetMode="External"/><Relationship Id="rId149" Type="http://schemas.openxmlformats.org/officeDocument/2006/relationships/hyperlink" Target="https://rice-financials.uaccess.arizona.edu/rice/kew/DocHandler.do?command=displayDocSearchView&amp;docId=30220024" TargetMode="External"/><Relationship Id="rId95" Type="http://schemas.openxmlformats.org/officeDocument/2006/relationships/hyperlink" Target="https://rice-financials.uaccess.arizona.edu/rice/kew/DocHandler.do?command=displayDocSearchView&amp;docId=28357711" TargetMode="External"/><Relationship Id="rId160" Type="http://schemas.openxmlformats.org/officeDocument/2006/relationships/hyperlink" Target="https://rice-financials.uaccess.arizona.edu/rice/kew/DocHandler.do?command=displayDocSearchView&amp;docId=28929863" TargetMode="External"/><Relationship Id="rId216" Type="http://schemas.openxmlformats.org/officeDocument/2006/relationships/hyperlink" Target="https://rice-financials.uaccess.arizona.edu/rice/kew/DocHandler.do?command=displayDocSearchView&amp;docId=28729778" TargetMode="External"/><Relationship Id="rId258" Type="http://schemas.openxmlformats.org/officeDocument/2006/relationships/hyperlink" Target="https://rice-financials.uaccess.arizona.edu/rice/kew/DocHandler.do?command=displayDocSearchView&amp;docId=30105809" TargetMode="External"/><Relationship Id="rId22" Type="http://schemas.openxmlformats.org/officeDocument/2006/relationships/hyperlink" Target="https://rice-financials.uaccess.arizona.edu/rice/kew/DocHandler.do?command=displayDocSearchView&amp;docId=29443961" TargetMode="External"/><Relationship Id="rId64" Type="http://schemas.openxmlformats.org/officeDocument/2006/relationships/hyperlink" Target="https://rice-financials.uaccess.arizona.edu/rice/kew/DocHandler.do?command=displayDocSearchView&amp;docId=31212786" TargetMode="External"/><Relationship Id="rId118" Type="http://schemas.openxmlformats.org/officeDocument/2006/relationships/hyperlink" Target="https://rice-financials.uaccess.arizona.edu/rice/kew/DocHandler.do?command=displayDocSearchView&amp;docId=28470597" TargetMode="External"/><Relationship Id="rId171" Type="http://schemas.openxmlformats.org/officeDocument/2006/relationships/hyperlink" Target="https://rice-financials.uaccess.arizona.edu/rice/kew/DocHandler.do?command=displayDocSearchView&amp;docId=28885801" TargetMode="External"/><Relationship Id="rId227" Type="http://schemas.openxmlformats.org/officeDocument/2006/relationships/hyperlink" Target="https://rice-financials.uaccess.arizona.edu/rice/kew/DocHandler.do?command=displayDocSearchView&amp;docId=2852028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ice-financials.uaccess.arizona.edu/rice/kew/DocHandler.do?command=displayDocSearchView&amp;docId=31839339" TargetMode="External"/><Relationship Id="rId13" Type="http://schemas.openxmlformats.org/officeDocument/2006/relationships/hyperlink" Target="https://rice-financials.uaccess.arizona.edu/rice/kew/DocHandler.do?command=displayDocSearchView&amp;docId=811823" TargetMode="External"/><Relationship Id="rId18" Type="http://schemas.openxmlformats.org/officeDocument/2006/relationships/hyperlink" Target="https://rice-financials.uaccess.arizona.edu/rice/kew/DocHandler.do?command=displayDocSearchView&amp;docId=31665015" TargetMode="External"/><Relationship Id="rId3" Type="http://schemas.openxmlformats.org/officeDocument/2006/relationships/hyperlink" Target="https://rice-financials.uaccess.arizona.edu/rice/kew/DocHandler.do?command=displayDocSearchView&amp;docId=31467938" TargetMode="External"/><Relationship Id="rId7" Type="http://schemas.openxmlformats.org/officeDocument/2006/relationships/hyperlink" Target="https://rice-financials.uaccess.arizona.edu/rice/kew/DocHandler.do?command=displayDocSearchView&amp;docId=31839340" TargetMode="External"/><Relationship Id="rId12" Type="http://schemas.openxmlformats.org/officeDocument/2006/relationships/hyperlink" Target="https://rice-financials.uaccess.arizona.edu/rice/kew/DocHandler.do?command=displayDocSearchView&amp;docId=31683486" TargetMode="External"/><Relationship Id="rId17" Type="http://schemas.openxmlformats.org/officeDocument/2006/relationships/hyperlink" Target="https://rice-financials.uaccess.arizona.edu/rice/kew/DocHandler.do?command=displayDocSearchView&amp;docId=31681612" TargetMode="External"/><Relationship Id="rId2" Type="http://schemas.openxmlformats.org/officeDocument/2006/relationships/hyperlink" Target="https://rice-financials.uaccess.arizona.edu/rice/kew/DocHandler.do?command=displayDocSearchView&amp;docId=31803922" TargetMode="External"/><Relationship Id="rId16" Type="http://schemas.openxmlformats.org/officeDocument/2006/relationships/hyperlink" Target="https://rice-financials.uaccess.arizona.edu/rice/kew/DocHandler.do?command=displayDocSearchView&amp;docId=31671382" TargetMode="External"/><Relationship Id="rId1" Type="http://schemas.openxmlformats.org/officeDocument/2006/relationships/hyperlink" Target="https://rice-financials.uaccess.arizona.edu/rice/kew/DocHandler.do?command=displayDocSearchView&amp;docId=31683487" TargetMode="External"/><Relationship Id="rId6" Type="http://schemas.openxmlformats.org/officeDocument/2006/relationships/hyperlink" Target="https://rice-financials.uaccess.arizona.edu/rice/kew/DocHandler.do?command=displayDocSearchView&amp;docId=31852037" TargetMode="External"/><Relationship Id="rId11" Type="http://schemas.openxmlformats.org/officeDocument/2006/relationships/hyperlink" Target="https://rice-financials.uaccess.arizona.edu/rice/kew/DocHandler.do?command=displayDocSearchView&amp;docId=31683488" TargetMode="External"/><Relationship Id="rId5" Type="http://schemas.openxmlformats.org/officeDocument/2006/relationships/hyperlink" Target="https://rice-financials.uaccess.arizona.edu/rice/kew/DocHandler.do?command=displayDocSearchView&amp;docId=31865411" TargetMode="External"/><Relationship Id="rId15" Type="http://schemas.openxmlformats.org/officeDocument/2006/relationships/hyperlink" Target="https://rice-financials.uaccess.arizona.edu/rice/kew/DocHandler.do?command=displayDocSearchView&amp;docId=770300" TargetMode="External"/><Relationship Id="rId10" Type="http://schemas.openxmlformats.org/officeDocument/2006/relationships/hyperlink" Target="https://rice-financials.uaccess.arizona.edu/rice/kew/DocHandler.do?command=displayDocSearchView&amp;docId=31685355" TargetMode="External"/><Relationship Id="rId19" Type="http://schemas.openxmlformats.org/officeDocument/2006/relationships/hyperlink" Target="https://rice-financials.uaccess.arizona.edu/rice/kew/DocHandler.do?command=displayDocSearchView&amp;docId=31549297" TargetMode="External"/><Relationship Id="rId4" Type="http://schemas.openxmlformats.org/officeDocument/2006/relationships/hyperlink" Target="https://rice-financials.uaccess.arizona.edu/rice/kew/DocHandler.do?command=displayDocSearchView&amp;docId=31905311" TargetMode="External"/><Relationship Id="rId9" Type="http://schemas.openxmlformats.org/officeDocument/2006/relationships/hyperlink" Target="https://rice-financials.uaccess.arizona.edu/rice/kew/DocHandler.do?command=displayDocSearchView&amp;docId=31839338" TargetMode="External"/><Relationship Id="rId14" Type="http://schemas.openxmlformats.org/officeDocument/2006/relationships/hyperlink" Target="https://rice-financials.uaccess.arizona.edu/rice/kew/DocHandler.do?command=displayDocSearchView&amp;docId=78813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ice-financials.uaccess.arizona.edu/rice/kew/DocHandler.do?command=displayDocSearchView&amp;docId=28029356" TargetMode="External"/><Relationship Id="rId2" Type="http://schemas.openxmlformats.org/officeDocument/2006/relationships/hyperlink" Target="https://rice-financials.uaccess.arizona.edu/rice/kew/DocHandler.do?command=displayDocSearchView&amp;docId=27375160" TargetMode="External"/><Relationship Id="rId1" Type="http://schemas.openxmlformats.org/officeDocument/2006/relationships/hyperlink" Target="https://rice-financials.uaccess.arizona.edu/rice/kew/DocHandler.do?command=displayDocSearchView&amp;docId=28062536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rice-financials.uaccess.arizona.edu/rice/kew/DocHandler.do?command=displayDocSearchView&amp;docId=28155297" TargetMode="External"/><Relationship Id="rId1" Type="http://schemas.openxmlformats.org/officeDocument/2006/relationships/hyperlink" Target="https://rice-financials.uaccess.arizona.edu/rice/kew/DocHandler.do?command=displayDocSearchView&amp;docId=28155297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rice-financials.uaccess.arizona.edu/rice/kew/DocHandler.do?command=displayDocSearchView&amp;docId=29474828" TargetMode="External"/><Relationship Id="rId18" Type="http://schemas.openxmlformats.org/officeDocument/2006/relationships/hyperlink" Target="https://rice-financials.uaccess.arizona.edu/rice/kew/DocHandler.do?command=displayDocSearchView&amp;docId=30997779" TargetMode="External"/><Relationship Id="rId26" Type="http://schemas.openxmlformats.org/officeDocument/2006/relationships/hyperlink" Target="https://rice-financials.uaccess.arizona.edu/rice/kew/DocHandler.do?command=displayDocSearchView&amp;docId=30665061" TargetMode="External"/><Relationship Id="rId39" Type="http://schemas.openxmlformats.org/officeDocument/2006/relationships/hyperlink" Target="https://rice-financials.uaccess.arizona.edu/rice/kew/DocHandler.do?command=displayDocSearchView&amp;docId=31553281" TargetMode="External"/><Relationship Id="rId21" Type="http://schemas.openxmlformats.org/officeDocument/2006/relationships/hyperlink" Target="https://rice-financials.uaccess.arizona.edu/rice/kew/DocHandler.do?command=displayDocSearchView&amp;docId=30997778" TargetMode="External"/><Relationship Id="rId34" Type="http://schemas.openxmlformats.org/officeDocument/2006/relationships/hyperlink" Target="https://rice-financials.uaccess.arizona.edu/rice/kew/DocHandler.do?command=displayDocSearchView&amp;docId=28849510" TargetMode="External"/><Relationship Id="rId42" Type="http://schemas.openxmlformats.org/officeDocument/2006/relationships/hyperlink" Target="https://rice-financials.uaccess.arizona.edu/rice/kew/DocHandler.do?command=displayDocSearchView&amp;docId=30637466" TargetMode="External"/><Relationship Id="rId7" Type="http://schemas.openxmlformats.org/officeDocument/2006/relationships/hyperlink" Target="https://rice-financials.uaccess.arizona.edu/rice/kew/DocHandler.do?command=displayDocSearchView&amp;docId=31553281" TargetMode="External"/><Relationship Id="rId2" Type="http://schemas.openxmlformats.org/officeDocument/2006/relationships/hyperlink" Target="https://rice-financials.uaccess.arizona.edu/rice/kew/DocHandler.do?command=displayDocSearchView&amp;docId=30015941" TargetMode="External"/><Relationship Id="rId16" Type="http://schemas.openxmlformats.org/officeDocument/2006/relationships/hyperlink" Target="https://rice-financials.uaccess.arizona.edu/rice/kew/DocHandler.do?command=displayDocSearchView&amp;docId=28255254" TargetMode="External"/><Relationship Id="rId20" Type="http://schemas.openxmlformats.org/officeDocument/2006/relationships/hyperlink" Target="https://rice-financials.uaccess.arizona.edu/rice/kew/DocHandler.do?command=displayDocSearchView&amp;docId=28659256" TargetMode="External"/><Relationship Id="rId29" Type="http://schemas.openxmlformats.org/officeDocument/2006/relationships/hyperlink" Target="https://rice-financials.uaccess.arizona.edu/rice/kew/DocHandler.do?command=displayDocSearchView&amp;docId=29173182" TargetMode="External"/><Relationship Id="rId41" Type="http://schemas.openxmlformats.org/officeDocument/2006/relationships/hyperlink" Target="https://rice-financials.uaccess.arizona.edu/rice/kew/DocHandler.do?command=displayDocSearchView&amp;docId=31099851" TargetMode="External"/><Relationship Id="rId1" Type="http://schemas.openxmlformats.org/officeDocument/2006/relationships/hyperlink" Target="https://rice-financials.uaccess.arizona.edu/rice/kew/DocHandler.do?command=displayDocSearchView&amp;docId=30015942" TargetMode="External"/><Relationship Id="rId6" Type="http://schemas.openxmlformats.org/officeDocument/2006/relationships/hyperlink" Target="https://rice-financials.uaccess.arizona.edu/rice/kew/DocHandler.do?command=displayDocSearchView&amp;docId=28885555" TargetMode="External"/><Relationship Id="rId11" Type="http://schemas.openxmlformats.org/officeDocument/2006/relationships/hyperlink" Target="https://rice-financials.uaccess.arizona.edu/rice/kew/DocHandler.do?command=displayDocSearchView&amp;docId=31553281" TargetMode="External"/><Relationship Id="rId24" Type="http://schemas.openxmlformats.org/officeDocument/2006/relationships/hyperlink" Target="https://rice-financials.uaccess.arizona.edu/rice/kew/DocHandler.do?command=displayDocSearchView&amp;docId=30783481" TargetMode="External"/><Relationship Id="rId32" Type="http://schemas.openxmlformats.org/officeDocument/2006/relationships/hyperlink" Target="https://rice-financials.uaccess.arizona.edu/rice/kew/DocHandler.do?command=displayDocSearchView&amp;docId=29395323" TargetMode="External"/><Relationship Id="rId37" Type="http://schemas.openxmlformats.org/officeDocument/2006/relationships/hyperlink" Target="https://rice-financials.uaccess.arizona.edu/rice/kew/DocHandler.do?command=displayDocSearchView&amp;docId=31553281" TargetMode="External"/><Relationship Id="rId40" Type="http://schemas.openxmlformats.org/officeDocument/2006/relationships/hyperlink" Target="https://rice-financials.uaccess.arizona.edu/rice/kew/DocHandler.do?command=displayDocSearchView&amp;docId=31240228" TargetMode="External"/><Relationship Id="rId5" Type="http://schemas.openxmlformats.org/officeDocument/2006/relationships/hyperlink" Target="https://rice-financials.uaccess.arizona.edu/rice/kew/DocHandler.do?command=displayDocSearchView&amp;docId=28915581" TargetMode="External"/><Relationship Id="rId15" Type="http://schemas.openxmlformats.org/officeDocument/2006/relationships/hyperlink" Target="https://rice-financials.uaccess.arizona.edu/rice/kew/DocHandler.do?command=displayDocSearchView&amp;docId=28849510" TargetMode="External"/><Relationship Id="rId23" Type="http://schemas.openxmlformats.org/officeDocument/2006/relationships/hyperlink" Target="https://rice-financials.uaccess.arizona.edu/rice/kew/DocHandler.do?command=displayDocSearchView&amp;docId=28255254" TargetMode="External"/><Relationship Id="rId28" Type="http://schemas.openxmlformats.org/officeDocument/2006/relationships/hyperlink" Target="https://rice-financials.uaccess.arizona.edu/rice/kew/DocHandler.do?command=displayDocSearchView&amp;docId=30623897" TargetMode="External"/><Relationship Id="rId36" Type="http://schemas.openxmlformats.org/officeDocument/2006/relationships/hyperlink" Target="https://rice-financials.uaccess.arizona.edu/rice/kew/DocHandler.do?command=displayDocSearchView&amp;docId=28711057" TargetMode="External"/><Relationship Id="rId10" Type="http://schemas.openxmlformats.org/officeDocument/2006/relationships/hyperlink" Target="https://rice-financials.uaccess.arizona.edu/rice/kew/DocHandler.do?command=displayDocSearchView&amp;docId=30637468" TargetMode="External"/><Relationship Id="rId19" Type="http://schemas.openxmlformats.org/officeDocument/2006/relationships/hyperlink" Target="https://rice-financials.uaccess.arizona.edu/rice/kew/DocHandler.do?command=displayDocSearchView&amp;docId=31553281" TargetMode="External"/><Relationship Id="rId31" Type="http://schemas.openxmlformats.org/officeDocument/2006/relationships/hyperlink" Target="https://rice-financials.uaccess.arizona.edu/rice/kew/DocHandler.do?command=displayDocSearchView&amp;docId=31553281" TargetMode="External"/><Relationship Id="rId4" Type="http://schemas.openxmlformats.org/officeDocument/2006/relationships/hyperlink" Target="https://rice-financials.uaccess.arizona.edu/rice/kew/DocHandler.do?command=displayDocSearchView&amp;docId=28915582" TargetMode="External"/><Relationship Id="rId9" Type="http://schemas.openxmlformats.org/officeDocument/2006/relationships/hyperlink" Target="https://rice-financials.uaccess.arizona.edu/rice/kew/DocHandler.do?command=displayDocSearchView&amp;docId=31553281" TargetMode="External"/><Relationship Id="rId14" Type="http://schemas.openxmlformats.org/officeDocument/2006/relationships/hyperlink" Target="https://rice-financials.uaccess.arizona.edu/rice/kew/DocHandler.do?command=displayDocSearchView&amp;docId=28757619" TargetMode="External"/><Relationship Id="rId22" Type="http://schemas.openxmlformats.org/officeDocument/2006/relationships/hyperlink" Target="https://rice-financials.uaccess.arizona.edu/rice/kew/DocHandler.do?command=displayDocSearchView&amp;docId=31553281" TargetMode="External"/><Relationship Id="rId27" Type="http://schemas.openxmlformats.org/officeDocument/2006/relationships/hyperlink" Target="https://rice-financials.uaccess.arizona.edu/rice/kew/DocHandler.do?command=displayDocSearchView&amp;docId=30623899" TargetMode="External"/><Relationship Id="rId30" Type="http://schemas.openxmlformats.org/officeDocument/2006/relationships/hyperlink" Target="https://rice-financials.uaccess.arizona.edu/rice/kew/DocHandler.do?command=displayDocSearchView&amp;docId=29173181" TargetMode="External"/><Relationship Id="rId35" Type="http://schemas.openxmlformats.org/officeDocument/2006/relationships/hyperlink" Target="https://rice-financials.uaccess.arizona.edu/rice/kew/DocHandler.do?command=displayDocSearchView&amp;docId=31553281" TargetMode="External"/><Relationship Id="rId43" Type="http://schemas.openxmlformats.org/officeDocument/2006/relationships/hyperlink" Target="https://rice-financials.uaccess.arizona.edu/rice/kew/DocHandler.do?command=displayDocSearchView&amp;docId=30721084" TargetMode="External"/><Relationship Id="rId8" Type="http://schemas.openxmlformats.org/officeDocument/2006/relationships/hyperlink" Target="https://rice-financials.uaccess.arizona.edu/rice/kew/DocHandler.do?command=displayDocSearchView&amp;docId=29862492" TargetMode="External"/><Relationship Id="rId3" Type="http://schemas.openxmlformats.org/officeDocument/2006/relationships/hyperlink" Target="https://rice-financials.uaccess.arizona.edu/rice/kew/DocHandler.do?command=displayDocSearchView&amp;docId=29395323" TargetMode="External"/><Relationship Id="rId12" Type="http://schemas.openxmlformats.org/officeDocument/2006/relationships/hyperlink" Target="https://rice-financials.uaccess.arizona.edu/rice/kew/DocHandler.do?command=displayDocSearchView&amp;docId=28915583" TargetMode="External"/><Relationship Id="rId17" Type="http://schemas.openxmlformats.org/officeDocument/2006/relationships/hyperlink" Target="https://rice-financials.uaccess.arizona.edu/rice/kew/DocHandler.do?command=displayDocSearchView&amp;docId=31258591" TargetMode="External"/><Relationship Id="rId25" Type="http://schemas.openxmlformats.org/officeDocument/2006/relationships/hyperlink" Target="https://rice-financials.uaccess.arizona.edu/rice/kew/DocHandler.do?command=displayDocSearchView&amp;docId=31553281" TargetMode="External"/><Relationship Id="rId33" Type="http://schemas.openxmlformats.org/officeDocument/2006/relationships/hyperlink" Target="https://rice-financials.uaccess.arizona.edu/rice/kew/DocHandler.do?command=displayDocSearchView&amp;docId=31553281" TargetMode="External"/><Relationship Id="rId38" Type="http://schemas.openxmlformats.org/officeDocument/2006/relationships/hyperlink" Target="https://rice-financials.uaccess.arizona.edu/rice/kew/DocHandler.do?command=displayDocSearchView&amp;docId=28915580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ice-financials.uaccess.arizona.edu/rice/kew/DocHandler.do?command=displayDocSearchView&amp;docId=28358541" TargetMode="External"/><Relationship Id="rId2" Type="http://schemas.openxmlformats.org/officeDocument/2006/relationships/hyperlink" Target="https://rice-financials.uaccess.arizona.edu/rice/kew/DocHandler.do?command=displayDocSearchView&amp;docId=27375160" TargetMode="External"/><Relationship Id="rId1" Type="http://schemas.openxmlformats.org/officeDocument/2006/relationships/hyperlink" Target="https://rice-financials.uaccess.arizona.edu/rice/kew/DocHandler.do?command=displayDocSearchView&amp;docId=28062536" TargetMode="External"/><Relationship Id="rId4" Type="http://schemas.openxmlformats.org/officeDocument/2006/relationships/hyperlink" Target="https://rice-financials.uaccess.arizona.edu/rice/kew/DocHandler.do?command=displayDocSearchView&amp;docId=271233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3E78-9989-45CF-B161-C4E95A7C58BF}">
  <dimension ref="B2:J32"/>
  <sheetViews>
    <sheetView showGridLines="0" tabSelected="1" zoomScale="115" zoomScaleNormal="115" workbookViewId="0">
      <selection activeCell="P11" sqref="P11"/>
    </sheetView>
  </sheetViews>
  <sheetFormatPr defaultRowHeight="15" x14ac:dyDescent="0.25"/>
  <cols>
    <col min="2" max="2" width="19" customWidth="1"/>
    <col min="3" max="4" width="13.5703125" bestFit="1" customWidth="1"/>
    <col min="5" max="5" width="15.42578125" customWidth="1"/>
    <col min="6" max="6" width="15.28515625" bestFit="1" customWidth="1"/>
    <col min="7" max="7" width="11.5703125" bestFit="1" customWidth="1"/>
    <col min="8" max="8" width="16.140625" bestFit="1" customWidth="1"/>
    <col min="9" max="9" width="15.140625" bestFit="1" customWidth="1"/>
    <col min="10" max="10" width="12.28515625" bestFit="1" customWidth="1"/>
  </cols>
  <sheetData>
    <row r="2" spans="2:10" x14ac:dyDescent="0.25">
      <c r="B2" s="136" t="s">
        <v>1288</v>
      </c>
      <c r="C2" s="136"/>
      <c r="D2" s="136"/>
      <c r="E2" s="136"/>
      <c r="F2" s="136"/>
      <c r="H2" t="s">
        <v>1393</v>
      </c>
      <c r="I2" s="87">
        <v>1460357</v>
      </c>
    </row>
    <row r="3" spans="2:10" x14ac:dyDescent="0.25">
      <c r="B3" s="78" t="s">
        <v>356</v>
      </c>
      <c r="C3" s="78" t="s">
        <v>357</v>
      </c>
      <c r="D3" s="78" t="s">
        <v>358</v>
      </c>
      <c r="E3" s="78" t="s">
        <v>1396</v>
      </c>
      <c r="F3" s="78" t="s">
        <v>367</v>
      </c>
      <c r="H3" s="88" t="s">
        <v>1394</v>
      </c>
      <c r="I3" s="86">
        <f>F10</f>
        <v>1039462.0700000001</v>
      </c>
    </row>
    <row r="4" spans="2:10" ht="15.75" thickBot="1" x14ac:dyDescent="0.3">
      <c r="B4" s="76">
        <v>1101935</v>
      </c>
      <c r="C4" s="75">
        <f>'1101935 FY24'!J7</f>
        <v>500000</v>
      </c>
      <c r="D4" s="89">
        <f>'1101935 FY25'!J7</f>
        <v>219462</v>
      </c>
      <c r="E4" s="96">
        <v>0</v>
      </c>
      <c r="F4" s="97">
        <f>SUM(C4:E4)</f>
        <v>719462</v>
      </c>
      <c r="H4" s="1" t="s">
        <v>1395</v>
      </c>
      <c r="I4" s="99">
        <f>I2-I3</f>
        <v>420894.92999999993</v>
      </c>
      <c r="J4" s="167"/>
    </row>
    <row r="5" spans="2:10" ht="15.75" thickTop="1" x14ac:dyDescent="0.25">
      <c r="B5" s="76">
        <v>5406011</v>
      </c>
      <c r="C5" s="75">
        <f>'5406011 FY24'!J7</f>
        <v>20000</v>
      </c>
      <c r="D5" s="89">
        <v>0</v>
      </c>
      <c r="E5" s="96">
        <v>0</v>
      </c>
      <c r="F5" s="97">
        <f t="shared" ref="F5:F9" si="0">SUM(C5:E5)</f>
        <v>20000</v>
      </c>
    </row>
    <row r="6" spans="2:10" x14ac:dyDescent="0.25">
      <c r="B6" s="76">
        <v>2176351</v>
      </c>
      <c r="C6" s="75">
        <v>0</v>
      </c>
      <c r="D6" s="89">
        <v>0</v>
      </c>
      <c r="E6" s="96">
        <v>0</v>
      </c>
      <c r="F6" s="97">
        <f>SUM(C6:E6)</f>
        <v>0</v>
      </c>
    </row>
    <row r="7" spans="2:10" x14ac:dyDescent="0.25">
      <c r="B7" s="77" t="s">
        <v>364</v>
      </c>
      <c r="C7" s="75">
        <v>0</v>
      </c>
      <c r="D7" s="89">
        <v>0</v>
      </c>
      <c r="E7" s="96">
        <v>0</v>
      </c>
      <c r="F7" s="97">
        <f>SUM(C7:E7)</f>
        <v>0</v>
      </c>
    </row>
    <row r="8" spans="2:10" x14ac:dyDescent="0.25">
      <c r="B8" s="77" t="s">
        <v>365</v>
      </c>
      <c r="C8" s="75">
        <f>'2215510 BME AM FY24'!J8</f>
        <v>300000.07</v>
      </c>
      <c r="D8" s="89">
        <v>0</v>
      </c>
      <c r="E8" s="96">
        <v>0</v>
      </c>
      <c r="F8" s="97">
        <f t="shared" si="0"/>
        <v>300000.07</v>
      </c>
    </row>
    <row r="9" spans="2:10" x14ac:dyDescent="0.25">
      <c r="B9" s="76" t="s">
        <v>363</v>
      </c>
      <c r="C9" s="75">
        <v>0</v>
      </c>
      <c r="D9" s="89">
        <v>0</v>
      </c>
      <c r="E9" s="96">
        <v>0</v>
      </c>
      <c r="F9" s="97">
        <f t="shared" si="0"/>
        <v>0</v>
      </c>
    </row>
    <row r="10" spans="2:10" x14ac:dyDescent="0.25">
      <c r="B10" s="72" t="s">
        <v>367</v>
      </c>
      <c r="C10" s="79">
        <f>SUM(C4:C9)</f>
        <v>820000.07000000007</v>
      </c>
      <c r="D10" s="79">
        <f>SUM(D4:D9)</f>
        <v>219462</v>
      </c>
      <c r="E10" s="79">
        <f>SUM(E4:E9)</f>
        <v>0</v>
      </c>
      <c r="F10" s="98">
        <f>SUM(F4:F9)</f>
        <v>1039462.0700000001</v>
      </c>
    </row>
    <row r="11" spans="2:10" x14ac:dyDescent="0.25">
      <c r="B11" s="72"/>
      <c r="C11" s="79"/>
      <c r="D11" s="79"/>
      <c r="E11" s="79"/>
      <c r="F11" s="79"/>
      <c r="I11" s="100"/>
    </row>
    <row r="12" spans="2:10" x14ac:dyDescent="0.25">
      <c r="B12" s="72"/>
      <c r="C12" s="73"/>
      <c r="D12" s="73"/>
      <c r="E12" s="73"/>
      <c r="F12" s="73"/>
    </row>
    <row r="13" spans="2:10" x14ac:dyDescent="0.25">
      <c r="B13" s="136" t="s">
        <v>366</v>
      </c>
      <c r="C13" s="136"/>
      <c r="D13" s="136"/>
      <c r="E13" s="136"/>
      <c r="F13" s="136"/>
    </row>
    <row r="14" spans="2:10" x14ac:dyDescent="0.25">
      <c r="B14" s="78" t="s">
        <v>356</v>
      </c>
      <c r="C14" s="78" t="s">
        <v>357</v>
      </c>
      <c r="D14" s="78" t="s">
        <v>358</v>
      </c>
      <c r="E14" s="78" t="s">
        <v>1396</v>
      </c>
      <c r="F14" s="78" t="s">
        <v>367</v>
      </c>
    </row>
    <row r="15" spans="2:10" x14ac:dyDescent="0.25">
      <c r="B15" s="76">
        <v>1101935</v>
      </c>
      <c r="C15" s="75">
        <f>'1101935 FY24'!H31</f>
        <v>452230.88</v>
      </c>
      <c r="D15" s="89">
        <f>'1101935 FY25'!H40</f>
        <v>153596.44</v>
      </c>
      <c r="E15" s="96">
        <f>'1101935 FY26'!G14+'1101935 FY26'!I14</f>
        <v>40507.040000000001</v>
      </c>
      <c r="F15" s="97">
        <f>SUM(C15:E15)</f>
        <v>646334.3600000001</v>
      </c>
    </row>
    <row r="16" spans="2:10" x14ac:dyDescent="0.25">
      <c r="B16" s="76">
        <v>5406011</v>
      </c>
      <c r="C16" s="75">
        <f>'5406011 FY24'!H10</f>
        <v>20000.18</v>
      </c>
      <c r="D16" s="89">
        <v>0</v>
      </c>
      <c r="E16" s="96">
        <v>0</v>
      </c>
      <c r="F16" s="97">
        <f t="shared" ref="F16:F20" si="1">SUM(C16:E16)</f>
        <v>20000.18</v>
      </c>
    </row>
    <row r="17" spans="2:7" x14ac:dyDescent="0.25">
      <c r="B17" s="76">
        <v>2176351</v>
      </c>
      <c r="C17" s="75">
        <v>0</v>
      </c>
      <c r="D17" s="89">
        <f>'2176351 FY25'!H9</f>
        <v>3284.87</v>
      </c>
      <c r="E17" s="96">
        <f>'2176351 FY26'!H8</f>
        <v>330.37</v>
      </c>
      <c r="F17" s="97">
        <f t="shared" si="1"/>
        <v>3615.24</v>
      </c>
    </row>
    <row r="18" spans="2:7" x14ac:dyDescent="0.25">
      <c r="B18" s="77" t="s">
        <v>364</v>
      </c>
      <c r="C18" s="75">
        <f>'2176300 BMEAM FY24'!H8</f>
        <v>217.6</v>
      </c>
      <c r="D18" s="89">
        <f>'2176300 BMEAM FY25'!H21</f>
        <v>24071.360000000001</v>
      </c>
      <c r="E18" s="96">
        <v>0</v>
      </c>
      <c r="F18" s="97">
        <f t="shared" si="1"/>
        <v>24288.959999999999</v>
      </c>
    </row>
    <row r="19" spans="2:7" x14ac:dyDescent="0.25">
      <c r="B19" s="77" t="s">
        <v>365</v>
      </c>
      <c r="C19" s="75">
        <f>'2215510 BME AM FY24'!H11</f>
        <v>300000.07</v>
      </c>
      <c r="D19" s="89">
        <v>0</v>
      </c>
      <c r="E19" s="96">
        <v>0</v>
      </c>
      <c r="F19" s="97">
        <f t="shared" si="1"/>
        <v>300000.07</v>
      </c>
    </row>
    <row r="20" spans="2:7" x14ac:dyDescent="0.25">
      <c r="B20" s="76" t="s">
        <v>363</v>
      </c>
      <c r="C20" s="75">
        <v>0</v>
      </c>
      <c r="D20" s="89">
        <v>0</v>
      </c>
      <c r="E20" s="96">
        <v>0</v>
      </c>
      <c r="F20" s="97">
        <f t="shared" si="1"/>
        <v>0</v>
      </c>
    </row>
    <row r="21" spans="2:7" x14ac:dyDescent="0.25">
      <c r="B21" s="72" t="s">
        <v>367</v>
      </c>
      <c r="C21" s="79">
        <f>SUM(C15:C20)</f>
        <v>772448.73</v>
      </c>
      <c r="D21" s="79">
        <f>SUM(D15:D20)</f>
        <v>180952.66999999998</v>
      </c>
      <c r="E21" s="79">
        <f>SUM(E15:E20)</f>
        <v>40837.410000000003</v>
      </c>
      <c r="F21" s="98">
        <f>SUM(F15:F20)</f>
        <v>994238.81</v>
      </c>
    </row>
    <row r="23" spans="2:7" x14ac:dyDescent="0.25">
      <c r="B23" s="72"/>
      <c r="C23" s="74"/>
      <c r="D23" s="74"/>
      <c r="E23" s="74"/>
      <c r="F23" s="74"/>
    </row>
    <row r="24" spans="2:7" x14ac:dyDescent="0.25">
      <c r="B24" s="136" t="s">
        <v>1462</v>
      </c>
      <c r="C24" s="136"/>
      <c r="D24" s="136"/>
      <c r="E24" s="136"/>
      <c r="F24" s="136"/>
    </row>
    <row r="25" spans="2:7" x14ac:dyDescent="0.25">
      <c r="B25" s="78" t="s">
        <v>356</v>
      </c>
      <c r="C25" s="78" t="s">
        <v>357</v>
      </c>
      <c r="D25" s="78" t="s">
        <v>358</v>
      </c>
      <c r="E25" s="78" t="s">
        <v>1396</v>
      </c>
      <c r="F25" s="78" t="s">
        <v>1470</v>
      </c>
    </row>
    <row r="26" spans="2:7" x14ac:dyDescent="0.25">
      <c r="B26" s="76">
        <v>1101935</v>
      </c>
      <c r="C26" s="75">
        <f>C4-C15</f>
        <v>47769.119999999995</v>
      </c>
      <c r="D26" s="75">
        <f t="shared" ref="D26:E26" si="2">D4-D15</f>
        <v>65865.56</v>
      </c>
      <c r="E26" s="75">
        <f t="shared" si="2"/>
        <v>-40507.040000000001</v>
      </c>
      <c r="F26" s="97">
        <f>SUM(C26:E26)</f>
        <v>73127.639999999985</v>
      </c>
    </row>
    <row r="27" spans="2:7" x14ac:dyDescent="0.25">
      <c r="B27" s="76">
        <v>5406011</v>
      </c>
      <c r="C27" s="75">
        <f t="shared" ref="C27:E27" si="3">C5-C16</f>
        <v>-0.18000000000029104</v>
      </c>
      <c r="D27" s="75">
        <f t="shared" si="3"/>
        <v>0</v>
      </c>
      <c r="E27" s="75">
        <f t="shared" si="3"/>
        <v>0</v>
      </c>
      <c r="F27" s="97">
        <f t="shared" ref="F27:F31" si="4">SUM(C27:E27)</f>
        <v>-0.18000000000029104</v>
      </c>
    </row>
    <row r="28" spans="2:7" x14ac:dyDescent="0.25">
      <c r="B28" s="76">
        <v>2176351</v>
      </c>
      <c r="C28" s="75">
        <f t="shared" ref="C28:E28" si="5">C6-C17</f>
        <v>0</v>
      </c>
      <c r="D28" s="75">
        <f t="shared" si="5"/>
        <v>-3284.87</v>
      </c>
      <c r="E28" s="75">
        <f t="shared" si="5"/>
        <v>-330.37</v>
      </c>
      <c r="F28" s="97">
        <f t="shared" si="4"/>
        <v>-3615.24</v>
      </c>
    </row>
    <row r="29" spans="2:7" x14ac:dyDescent="0.25">
      <c r="B29" s="77" t="s">
        <v>364</v>
      </c>
      <c r="C29" s="75">
        <f t="shared" ref="C29:E29" si="6">C7-C18</f>
        <v>-217.6</v>
      </c>
      <c r="D29" s="75">
        <f t="shared" si="6"/>
        <v>-24071.360000000001</v>
      </c>
      <c r="E29" s="75">
        <f t="shared" si="6"/>
        <v>0</v>
      </c>
      <c r="F29" s="97">
        <f t="shared" si="4"/>
        <v>-24288.959999999999</v>
      </c>
    </row>
    <row r="30" spans="2:7" x14ac:dyDescent="0.25">
      <c r="B30" s="77" t="s">
        <v>365</v>
      </c>
      <c r="C30" s="75">
        <f t="shared" ref="C30:E30" si="7">C8-C19</f>
        <v>0</v>
      </c>
      <c r="D30" s="75">
        <f t="shared" si="7"/>
        <v>0</v>
      </c>
      <c r="E30" s="75">
        <f t="shared" si="7"/>
        <v>0</v>
      </c>
      <c r="F30" s="97">
        <f t="shared" si="4"/>
        <v>0</v>
      </c>
    </row>
    <row r="31" spans="2:7" x14ac:dyDescent="0.25">
      <c r="B31" s="76" t="s">
        <v>363</v>
      </c>
      <c r="C31" s="75">
        <f t="shared" ref="C31:E31" si="8">C9-C20</f>
        <v>0</v>
      </c>
      <c r="D31" s="75">
        <f t="shared" si="8"/>
        <v>0</v>
      </c>
      <c r="E31" s="75">
        <f t="shared" si="8"/>
        <v>0</v>
      </c>
      <c r="F31" s="97">
        <f t="shared" si="4"/>
        <v>0</v>
      </c>
    </row>
    <row r="32" spans="2:7" x14ac:dyDescent="0.25">
      <c r="B32" s="72" t="s">
        <v>367</v>
      </c>
      <c r="C32" s="79">
        <f>SUM(C26:C31)</f>
        <v>47551.34</v>
      </c>
      <c r="D32" s="79">
        <f>SUM(D26:D31)</f>
        <v>38509.329999999994</v>
      </c>
      <c r="E32" s="79">
        <f>SUM(E26:E31)</f>
        <v>-40837.410000000003</v>
      </c>
      <c r="F32" s="98">
        <f>SUM(F26:F31)</f>
        <v>45223.259999999987</v>
      </c>
      <c r="G32" s="86"/>
    </row>
  </sheetData>
  <mergeCells count="3">
    <mergeCell ref="B2:F2"/>
    <mergeCell ref="B13:F13"/>
    <mergeCell ref="B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B2:AM140"/>
  <sheetViews>
    <sheetView showGridLines="0" workbookViewId="0">
      <selection activeCell="J31" sqref="J31"/>
    </sheetView>
  </sheetViews>
  <sheetFormatPr defaultColWidth="9.28515625" defaultRowHeight="15" x14ac:dyDescent="0.25"/>
  <cols>
    <col min="1" max="1" width="3.28515625" style="1" customWidth="1"/>
    <col min="2" max="2" width="16" style="1" bestFit="1" customWidth="1"/>
    <col min="3" max="3" width="26.28515625" style="1" bestFit="1" customWidth="1"/>
    <col min="4" max="4" width="11.85546875" style="1" bestFit="1" customWidth="1"/>
    <col min="5" max="5" width="40.28515625" style="1" bestFit="1" customWidth="1"/>
    <col min="6" max="6" width="15" style="1" bestFit="1" customWidth="1"/>
    <col min="7" max="7" width="17.85546875" style="1" bestFit="1" customWidth="1"/>
    <col min="8" max="8" width="16.85546875" style="1" bestFit="1" customWidth="1"/>
    <col min="9" max="9" width="19.7109375" style="1" bestFit="1" customWidth="1"/>
    <col min="10" max="10" width="16.7109375" style="1" bestFit="1" customWidth="1"/>
    <col min="11" max="11" width="3.28515625" style="1" customWidth="1"/>
    <col min="12" max="12" width="11.85546875" style="1" bestFit="1" customWidth="1"/>
    <col min="13" max="13" width="39.5703125" style="1" bestFit="1" customWidth="1"/>
    <col min="14" max="14" width="15.85546875" style="65" bestFit="1" customWidth="1"/>
    <col min="15" max="15" width="10.140625" style="1" bestFit="1" customWidth="1"/>
    <col min="16" max="16" width="18.140625" style="1" bestFit="1" customWidth="1"/>
    <col min="17" max="17" width="6.42578125" style="1" bestFit="1" customWidth="1"/>
    <col min="18" max="18" width="17.28515625" style="1" bestFit="1" customWidth="1"/>
    <col min="19" max="19" width="10.7109375" style="1" bestFit="1" customWidth="1"/>
    <col min="20" max="21" width="4" style="1" customWidth="1"/>
    <col min="22" max="22" width="42.5703125" style="1" bestFit="1" customWidth="1"/>
    <col min="23" max="23" width="47.42578125" style="1" customWidth="1"/>
    <col min="24" max="24" width="6.140625" style="1" customWidth="1"/>
    <col min="25" max="25" width="22.42578125" style="1" bestFit="1" customWidth="1"/>
    <col min="26" max="26" width="21.42578125" style="1" bestFit="1" customWidth="1"/>
    <col min="27" max="27" width="20.7109375" style="1" bestFit="1" customWidth="1"/>
    <col min="28" max="28" width="3.28515625" style="1" customWidth="1"/>
    <col min="29" max="29" width="16" style="1" bestFit="1" customWidth="1"/>
    <col min="30" max="30" width="8" style="1" customWidth="1"/>
    <col min="31" max="31" width="18.28515625" style="1" bestFit="1" customWidth="1"/>
    <col min="32" max="32" width="16.140625" style="1" bestFit="1" customWidth="1"/>
    <col min="33" max="33" width="11.85546875" style="1" bestFit="1" customWidth="1"/>
    <col min="34" max="34" width="31.7109375" style="1" bestFit="1" customWidth="1"/>
    <col min="35" max="35" width="19.5703125" style="1" bestFit="1" customWidth="1"/>
    <col min="36" max="36" width="9.42578125" style="1" customWidth="1"/>
    <col min="37" max="37" width="7.42578125" style="1" bestFit="1" customWidth="1"/>
    <col min="38" max="38" width="13.85546875" style="1" bestFit="1" customWidth="1"/>
    <col min="39" max="39" width="19.7109375" style="1" bestFit="1" customWidth="1"/>
    <col min="40" max="16384" width="9.28515625" style="1"/>
  </cols>
  <sheetData>
    <row r="2" spans="2:39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C2" s="136" t="s">
        <v>362</v>
      </c>
      <c r="AD2" s="136"/>
      <c r="AE2" s="136"/>
      <c r="AF2" s="136"/>
      <c r="AG2" s="136"/>
      <c r="AH2" s="136"/>
      <c r="AI2" s="136"/>
      <c r="AJ2" s="136"/>
      <c r="AK2" s="136"/>
      <c r="AL2" s="136"/>
      <c r="AM2" s="136"/>
    </row>
    <row r="4" spans="2:39" x14ac:dyDescent="0.25">
      <c r="B4" s="51" t="s">
        <v>0</v>
      </c>
      <c r="C4" s="51" t="s">
        <v>1</v>
      </c>
      <c r="D4" s="51" t="s">
        <v>2</v>
      </c>
      <c r="E4" s="51" t="s">
        <v>3</v>
      </c>
      <c r="F4" s="51" t="s">
        <v>4</v>
      </c>
      <c r="G4" s="51" t="s">
        <v>5</v>
      </c>
      <c r="H4" s="51" t="s">
        <v>6</v>
      </c>
      <c r="I4" s="51" t="s">
        <v>7</v>
      </c>
      <c r="J4" s="51" t="s">
        <v>8</v>
      </c>
      <c r="L4" s="14" t="s">
        <v>2</v>
      </c>
      <c r="M4" s="14" t="s">
        <v>3</v>
      </c>
      <c r="N4" s="70" t="s">
        <v>69</v>
      </c>
      <c r="O4" s="14" t="s">
        <v>70</v>
      </c>
      <c r="P4" s="14" t="s">
        <v>71</v>
      </c>
      <c r="Q4" s="14" t="s">
        <v>72</v>
      </c>
      <c r="R4" s="14" t="s">
        <v>73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79</v>
      </c>
      <c r="Y4" s="15" t="s">
        <v>80</v>
      </c>
      <c r="Z4" s="15" t="s">
        <v>81</v>
      </c>
      <c r="AA4" s="16" t="s">
        <v>82</v>
      </c>
      <c r="AC4" s="46" t="s">
        <v>344</v>
      </c>
      <c r="AD4" s="46" t="s">
        <v>345</v>
      </c>
      <c r="AE4" s="14" t="s">
        <v>346</v>
      </c>
      <c r="AF4" s="14" t="s">
        <v>347</v>
      </c>
      <c r="AG4" s="14" t="s">
        <v>2</v>
      </c>
      <c r="AH4" s="14" t="s">
        <v>3</v>
      </c>
      <c r="AI4" s="14" t="s">
        <v>348</v>
      </c>
      <c r="AJ4" s="14" t="s">
        <v>349</v>
      </c>
      <c r="AK4" s="14" t="s">
        <v>350</v>
      </c>
      <c r="AL4" s="15" t="s">
        <v>351</v>
      </c>
      <c r="AM4" s="16" t="s">
        <v>352</v>
      </c>
    </row>
    <row r="5" spans="2:39" x14ac:dyDescent="0.25">
      <c r="B5" s="64">
        <v>1101935</v>
      </c>
      <c r="C5" s="3" t="s">
        <v>10</v>
      </c>
      <c r="D5" s="3" t="s">
        <v>11</v>
      </c>
      <c r="E5" s="3" t="s">
        <v>12</v>
      </c>
      <c r="F5" s="4">
        <v>0</v>
      </c>
      <c r="G5" s="4">
        <v>0</v>
      </c>
      <c r="H5" s="4">
        <v>0</v>
      </c>
      <c r="I5" s="19">
        <v>0</v>
      </c>
      <c r="J5" s="21">
        <v>0</v>
      </c>
      <c r="L5" s="25" t="s">
        <v>14</v>
      </c>
      <c r="M5" s="25" t="s">
        <v>15</v>
      </c>
      <c r="N5" s="24">
        <v>45448</v>
      </c>
      <c r="O5" s="25" t="s">
        <v>84</v>
      </c>
      <c r="P5" s="25" t="s">
        <v>85</v>
      </c>
      <c r="Q5" s="25" t="s">
        <v>86</v>
      </c>
      <c r="R5" s="25" t="s">
        <v>87</v>
      </c>
      <c r="S5" s="24">
        <v>45448</v>
      </c>
      <c r="T5" s="25" t="s">
        <v>83</v>
      </c>
      <c r="U5" s="25" t="s">
        <v>88</v>
      </c>
      <c r="V5" s="25" t="s">
        <v>89</v>
      </c>
      <c r="W5" s="52" t="s">
        <v>83</v>
      </c>
      <c r="X5" s="52" t="s">
        <v>83</v>
      </c>
      <c r="Y5" s="53">
        <v>0</v>
      </c>
      <c r="Z5" s="53">
        <v>-500000</v>
      </c>
      <c r="AA5" s="5">
        <v>0</v>
      </c>
      <c r="AC5" s="23" t="s">
        <v>9</v>
      </c>
      <c r="AD5" s="23" t="s">
        <v>83</v>
      </c>
      <c r="AE5" s="23" t="s">
        <v>353</v>
      </c>
      <c r="AF5" s="48">
        <v>1867411</v>
      </c>
      <c r="AG5" s="48">
        <v>1212</v>
      </c>
      <c r="AH5" s="23" t="s">
        <v>21</v>
      </c>
      <c r="AI5" s="24">
        <v>45438</v>
      </c>
      <c r="AJ5" s="25" t="s">
        <v>99</v>
      </c>
      <c r="AK5" s="26">
        <v>2.5000000000000001E-2</v>
      </c>
      <c r="AL5" s="26">
        <v>40</v>
      </c>
      <c r="AM5" s="27">
        <v>3216.4</v>
      </c>
    </row>
    <row r="6" spans="2:39" x14ac:dyDescent="0.25">
      <c r="B6" s="2"/>
      <c r="C6" s="3" t="s">
        <v>13</v>
      </c>
      <c r="D6" s="3" t="s">
        <v>14</v>
      </c>
      <c r="E6" s="3" t="s">
        <v>15</v>
      </c>
      <c r="F6" s="4">
        <v>0</v>
      </c>
      <c r="G6" s="4">
        <v>-500000</v>
      </c>
      <c r="H6" s="4">
        <v>-500000</v>
      </c>
      <c r="I6" s="19">
        <v>0</v>
      </c>
      <c r="J6" s="21">
        <v>500000</v>
      </c>
      <c r="L6" s="54" t="s">
        <v>90</v>
      </c>
      <c r="M6" s="55"/>
      <c r="N6" s="66"/>
      <c r="O6" s="55"/>
      <c r="P6" s="55"/>
      <c r="Q6" s="55"/>
      <c r="R6" s="55"/>
      <c r="S6" s="55"/>
      <c r="T6" s="55"/>
      <c r="U6" s="55"/>
      <c r="V6" s="55"/>
      <c r="W6" s="55"/>
      <c r="X6" s="55"/>
      <c r="Y6" s="56">
        <v>0</v>
      </c>
      <c r="Z6" s="56">
        <v>-500000</v>
      </c>
      <c r="AA6" s="57">
        <v>0</v>
      </c>
      <c r="AC6" s="28"/>
      <c r="AD6" s="28"/>
      <c r="AE6" s="28"/>
      <c r="AF6" s="28"/>
      <c r="AG6" s="49"/>
      <c r="AH6" s="28"/>
      <c r="AI6" s="24">
        <v>45452</v>
      </c>
      <c r="AJ6" s="25" t="s">
        <v>99</v>
      </c>
      <c r="AK6" s="26">
        <v>2.5000000000000001E-2</v>
      </c>
      <c r="AL6" s="26">
        <v>32</v>
      </c>
      <c r="AM6" s="27">
        <v>2573.12</v>
      </c>
    </row>
    <row r="7" spans="2:39" ht="15" customHeight="1" x14ac:dyDescent="0.25">
      <c r="B7" s="2"/>
      <c r="C7" s="6" t="s">
        <v>16</v>
      </c>
      <c r="D7" s="18"/>
      <c r="E7" s="6"/>
      <c r="F7" s="7">
        <v>0</v>
      </c>
      <c r="G7" s="7">
        <v>-500000</v>
      </c>
      <c r="H7" s="7">
        <v>-500000</v>
      </c>
      <c r="I7" s="7">
        <v>0</v>
      </c>
      <c r="J7" s="7">
        <v>500000</v>
      </c>
      <c r="L7" s="25" t="s">
        <v>18</v>
      </c>
      <c r="M7" s="25" t="s">
        <v>19</v>
      </c>
      <c r="N7" s="24">
        <v>45446</v>
      </c>
      <c r="O7" s="25" t="s">
        <v>91</v>
      </c>
      <c r="P7" s="25" t="s">
        <v>85</v>
      </c>
      <c r="Q7" s="25" t="s">
        <v>86</v>
      </c>
      <c r="R7" s="25" t="s">
        <v>87</v>
      </c>
      <c r="S7" s="24">
        <v>45448</v>
      </c>
      <c r="T7" s="25" t="s">
        <v>83</v>
      </c>
      <c r="U7" s="25" t="s">
        <v>88</v>
      </c>
      <c r="V7" s="25" t="s">
        <v>89</v>
      </c>
      <c r="W7" s="52" t="s">
        <v>83</v>
      </c>
      <c r="X7" s="52" t="s">
        <v>83</v>
      </c>
      <c r="Y7" s="53">
        <v>500000</v>
      </c>
      <c r="Z7" s="53">
        <v>0</v>
      </c>
      <c r="AA7" s="5">
        <v>0</v>
      </c>
      <c r="AC7" s="28"/>
      <c r="AD7" s="28"/>
      <c r="AE7" s="28"/>
      <c r="AF7" s="28"/>
      <c r="AG7" s="49"/>
      <c r="AH7" s="28"/>
      <c r="AI7" s="24">
        <v>45466</v>
      </c>
      <c r="AJ7" s="25" t="s">
        <v>99</v>
      </c>
      <c r="AK7" s="26">
        <v>2.5000000000000001E-2</v>
      </c>
      <c r="AL7" s="26">
        <v>72</v>
      </c>
      <c r="AM7" s="27">
        <v>5789.52</v>
      </c>
    </row>
    <row r="8" spans="2:39" x14ac:dyDescent="0.25">
      <c r="B8" s="2"/>
      <c r="C8" s="8" t="s">
        <v>17</v>
      </c>
      <c r="D8" s="3" t="s">
        <v>18</v>
      </c>
      <c r="E8" s="3" t="s">
        <v>19</v>
      </c>
      <c r="F8" s="4">
        <v>500000</v>
      </c>
      <c r="G8" s="4">
        <v>0</v>
      </c>
      <c r="H8" s="4">
        <v>0</v>
      </c>
      <c r="I8" s="19">
        <v>0</v>
      </c>
      <c r="J8" s="21">
        <v>500000</v>
      </c>
      <c r="L8" s="54" t="s">
        <v>92</v>
      </c>
      <c r="M8" s="55"/>
      <c r="N8" s="66"/>
      <c r="O8" s="55"/>
      <c r="P8" s="55"/>
      <c r="Q8" s="55"/>
      <c r="R8" s="55"/>
      <c r="S8" s="55"/>
      <c r="T8" s="55"/>
      <c r="U8" s="55"/>
      <c r="V8" s="55"/>
      <c r="W8" s="55"/>
      <c r="X8" s="55"/>
      <c r="Y8" s="56">
        <v>500000</v>
      </c>
      <c r="Z8" s="56">
        <v>0</v>
      </c>
      <c r="AA8" s="57">
        <v>0</v>
      </c>
      <c r="AC8" s="28"/>
      <c r="AD8" s="28"/>
      <c r="AE8" s="28"/>
      <c r="AF8" s="28"/>
      <c r="AG8" s="50"/>
      <c r="AH8" s="29"/>
      <c r="AI8" s="24">
        <v>45480</v>
      </c>
      <c r="AJ8" s="25" t="s">
        <v>99</v>
      </c>
      <c r="AK8" s="26">
        <v>2.5000000000000001E-2</v>
      </c>
      <c r="AL8" s="26">
        <v>40</v>
      </c>
      <c r="AM8" s="27">
        <v>3216.4</v>
      </c>
    </row>
    <row r="9" spans="2:39" x14ac:dyDescent="0.25">
      <c r="B9" s="2"/>
      <c r="C9" s="8"/>
      <c r="D9" s="3" t="s">
        <v>20</v>
      </c>
      <c r="E9" s="3" t="s">
        <v>21</v>
      </c>
      <c r="F9" s="4">
        <v>0</v>
      </c>
      <c r="G9" s="4">
        <v>14795.44</v>
      </c>
      <c r="H9" s="4">
        <v>14795.44</v>
      </c>
      <c r="I9" s="19">
        <v>0</v>
      </c>
      <c r="J9" s="21">
        <v>-14795.44</v>
      </c>
      <c r="L9" s="23" t="s">
        <v>20</v>
      </c>
      <c r="M9" s="23" t="s">
        <v>21</v>
      </c>
      <c r="N9" s="24">
        <v>45434</v>
      </c>
      <c r="O9" s="25" t="s">
        <v>93</v>
      </c>
      <c r="P9" s="25" t="s">
        <v>94</v>
      </c>
      <c r="Q9" s="25" t="s">
        <v>95</v>
      </c>
      <c r="R9" s="25" t="s">
        <v>87</v>
      </c>
      <c r="S9" s="24">
        <v>45434</v>
      </c>
      <c r="T9" s="25" t="s">
        <v>83</v>
      </c>
      <c r="U9" s="25" t="s">
        <v>83</v>
      </c>
      <c r="V9" s="25" t="s">
        <v>96</v>
      </c>
      <c r="W9" s="52" t="s">
        <v>83</v>
      </c>
      <c r="X9" s="52" t="s">
        <v>83</v>
      </c>
      <c r="Y9" s="53">
        <v>0</v>
      </c>
      <c r="Z9" s="53">
        <v>0</v>
      </c>
      <c r="AA9" s="5">
        <v>563</v>
      </c>
      <c r="AC9" s="28"/>
      <c r="AD9" s="28"/>
      <c r="AE9" s="28"/>
      <c r="AF9" s="28"/>
      <c r="AG9" s="30" t="s">
        <v>109</v>
      </c>
      <c r="AH9" s="31"/>
      <c r="AI9" s="31"/>
      <c r="AJ9" s="31"/>
      <c r="AK9" s="31"/>
      <c r="AL9" s="32">
        <v>184</v>
      </c>
      <c r="AM9" s="33">
        <v>14795.44</v>
      </c>
    </row>
    <row r="10" spans="2:39" x14ac:dyDescent="0.25">
      <c r="B10" s="2"/>
      <c r="C10" s="9"/>
      <c r="D10" s="3" t="s">
        <v>22</v>
      </c>
      <c r="E10" s="3" t="s">
        <v>23</v>
      </c>
      <c r="F10" s="4">
        <v>0</v>
      </c>
      <c r="G10" s="4">
        <v>4734.55</v>
      </c>
      <c r="H10" s="4">
        <v>4734.55</v>
      </c>
      <c r="I10" s="19">
        <v>0</v>
      </c>
      <c r="J10" s="21">
        <v>-4734.55</v>
      </c>
      <c r="L10" s="28"/>
      <c r="M10" s="28"/>
      <c r="N10" s="67">
        <v>45441</v>
      </c>
      <c r="O10" s="25" t="s">
        <v>93</v>
      </c>
      <c r="P10" s="25" t="s">
        <v>97</v>
      </c>
      <c r="Q10" s="25" t="s">
        <v>98</v>
      </c>
      <c r="R10" s="25" t="s">
        <v>87</v>
      </c>
      <c r="S10" s="24">
        <v>45441</v>
      </c>
      <c r="T10" s="25" t="s">
        <v>83</v>
      </c>
      <c r="U10" s="25" t="s">
        <v>83</v>
      </c>
      <c r="V10" s="25" t="s">
        <v>96</v>
      </c>
      <c r="W10" s="52" t="s">
        <v>83</v>
      </c>
      <c r="X10" s="52" t="s">
        <v>83</v>
      </c>
      <c r="Y10" s="53">
        <v>0</v>
      </c>
      <c r="Z10" s="53">
        <v>0</v>
      </c>
      <c r="AA10" s="5">
        <v>-161</v>
      </c>
      <c r="AC10" s="28"/>
      <c r="AD10" s="28"/>
      <c r="AE10" s="28"/>
      <c r="AF10" s="28"/>
      <c r="AG10" s="48">
        <v>2121</v>
      </c>
      <c r="AH10" s="23" t="s">
        <v>23</v>
      </c>
      <c r="AI10" s="24">
        <v>45438</v>
      </c>
      <c r="AJ10" s="25" t="s">
        <v>99</v>
      </c>
      <c r="AK10" s="26">
        <v>2.5000000000000001E-2</v>
      </c>
      <c r="AL10" s="26">
        <v>0</v>
      </c>
      <c r="AM10" s="27">
        <v>1029.25</v>
      </c>
    </row>
    <row r="11" spans="2:39" x14ac:dyDescent="0.25">
      <c r="B11" s="2"/>
      <c r="C11" s="8" t="s">
        <v>24</v>
      </c>
      <c r="D11" s="3" t="s">
        <v>25</v>
      </c>
      <c r="E11" s="3" t="s">
        <v>360</v>
      </c>
      <c r="F11" s="4">
        <v>0</v>
      </c>
      <c r="G11" s="4">
        <v>196.08</v>
      </c>
      <c r="H11" s="4">
        <v>196.08</v>
      </c>
      <c r="I11" s="19">
        <v>0</v>
      </c>
      <c r="J11" s="21">
        <v>-196.08</v>
      </c>
      <c r="L11" s="28"/>
      <c r="M11" s="28"/>
      <c r="N11" s="68"/>
      <c r="O11" s="25" t="s">
        <v>99</v>
      </c>
      <c r="P11" s="25" t="s">
        <v>100</v>
      </c>
      <c r="Q11" s="25" t="s">
        <v>95</v>
      </c>
      <c r="R11" s="25" t="s">
        <v>87</v>
      </c>
      <c r="S11" s="24">
        <v>45441</v>
      </c>
      <c r="T11" s="25" t="s">
        <v>83</v>
      </c>
      <c r="U11" s="25" t="s">
        <v>101</v>
      </c>
      <c r="V11" s="25" t="s">
        <v>102</v>
      </c>
      <c r="W11" s="52" t="s">
        <v>83</v>
      </c>
      <c r="X11" s="52" t="s">
        <v>83</v>
      </c>
      <c r="Y11" s="53">
        <v>0</v>
      </c>
      <c r="Z11" s="53">
        <v>3216.4</v>
      </c>
      <c r="AA11" s="5">
        <v>0</v>
      </c>
      <c r="AC11" s="28"/>
      <c r="AD11" s="28"/>
      <c r="AE11" s="28"/>
      <c r="AF11" s="28"/>
      <c r="AG11" s="49"/>
      <c r="AH11" s="28"/>
      <c r="AI11" s="24">
        <v>45452</v>
      </c>
      <c r="AJ11" s="25" t="s">
        <v>99</v>
      </c>
      <c r="AK11" s="26">
        <v>2.5000000000000001E-2</v>
      </c>
      <c r="AL11" s="26">
        <v>0</v>
      </c>
      <c r="AM11" s="27">
        <v>823.4</v>
      </c>
    </row>
    <row r="12" spans="2:39" x14ac:dyDescent="0.25">
      <c r="B12" s="2"/>
      <c r="C12" s="8"/>
      <c r="D12" s="3" t="s">
        <v>27</v>
      </c>
      <c r="E12" s="3" t="s">
        <v>28</v>
      </c>
      <c r="F12" s="4">
        <v>0</v>
      </c>
      <c r="G12" s="4">
        <v>81.56</v>
      </c>
      <c r="H12" s="4">
        <v>81.56</v>
      </c>
      <c r="I12" s="19">
        <v>0</v>
      </c>
      <c r="J12" s="21">
        <v>-81.56</v>
      </c>
      <c r="L12" s="28"/>
      <c r="M12" s="28"/>
      <c r="N12" s="24">
        <v>45455</v>
      </c>
      <c r="O12" s="25" t="s">
        <v>93</v>
      </c>
      <c r="P12" s="25" t="s">
        <v>103</v>
      </c>
      <c r="Q12" s="25" t="s">
        <v>98</v>
      </c>
      <c r="R12" s="25" t="s">
        <v>87</v>
      </c>
      <c r="S12" s="24">
        <v>45455</v>
      </c>
      <c r="T12" s="25" t="s">
        <v>83</v>
      </c>
      <c r="U12" s="25" t="s">
        <v>83</v>
      </c>
      <c r="V12" s="25" t="s">
        <v>96</v>
      </c>
      <c r="W12" s="52" t="s">
        <v>83</v>
      </c>
      <c r="X12" s="52" t="s">
        <v>83</v>
      </c>
      <c r="Y12" s="53">
        <v>0</v>
      </c>
      <c r="Z12" s="53">
        <v>0</v>
      </c>
      <c r="AA12" s="5">
        <v>-161</v>
      </c>
      <c r="AC12" s="28"/>
      <c r="AD12" s="28"/>
      <c r="AE12" s="28"/>
      <c r="AF12" s="28"/>
      <c r="AG12" s="49"/>
      <c r="AH12" s="28"/>
      <c r="AI12" s="24">
        <v>45466</v>
      </c>
      <c r="AJ12" s="25" t="s">
        <v>99</v>
      </c>
      <c r="AK12" s="26">
        <v>2.5000000000000001E-2</v>
      </c>
      <c r="AL12" s="26">
        <v>0</v>
      </c>
      <c r="AM12" s="27">
        <v>1852.65</v>
      </c>
    </row>
    <row r="13" spans="2:39" x14ac:dyDescent="0.25">
      <c r="B13" s="2"/>
      <c r="C13" s="8"/>
      <c r="D13" s="3" t="s">
        <v>29</v>
      </c>
      <c r="E13" s="3" t="s">
        <v>30</v>
      </c>
      <c r="F13" s="4">
        <v>0</v>
      </c>
      <c r="G13" s="4">
        <v>40</v>
      </c>
      <c r="H13" s="4">
        <v>40</v>
      </c>
      <c r="I13" s="19">
        <v>0</v>
      </c>
      <c r="J13" s="21">
        <v>-40</v>
      </c>
      <c r="L13" s="28"/>
      <c r="M13" s="28"/>
      <c r="N13" s="67">
        <v>45469</v>
      </c>
      <c r="O13" s="25" t="s">
        <v>93</v>
      </c>
      <c r="P13" s="25" t="s">
        <v>104</v>
      </c>
      <c r="Q13" s="25" t="s">
        <v>98</v>
      </c>
      <c r="R13" s="25" t="s">
        <v>87</v>
      </c>
      <c r="S13" s="24">
        <v>45469</v>
      </c>
      <c r="T13" s="25" t="s">
        <v>83</v>
      </c>
      <c r="U13" s="25" t="s">
        <v>83</v>
      </c>
      <c r="V13" s="25" t="s">
        <v>96</v>
      </c>
      <c r="W13" s="52" t="s">
        <v>83</v>
      </c>
      <c r="X13" s="52" t="s">
        <v>83</v>
      </c>
      <c r="Y13" s="53">
        <v>0</v>
      </c>
      <c r="Z13" s="53">
        <v>0</v>
      </c>
      <c r="AA13" s="5">
        <v>-161</v>
      </c>
      <c r="AC13" s="28"/>
      <c r="AD13" s="28"/>
      <c r="AE13" s="28"/>
      <c r="AF13" s="28"/>
      <c r="AG13" s="50"/>
      <c r="AH13" s="29"/>
      <c r="AI13" s="24">
        <v>45480</v>
      </c>
      <c r="AJ13" s="25" t="s">
        <v>99</v>
      </c>
      <c r="AK13" s="26">
        <v>2.5000000000000001E-2</v>
      </c>
      <c r="AL13" s="26">
        <v>0</v>
      </c>
      <c r="AM13" s="27">
        <v>1029.25</v>
      </c>
    </row>
    <row r="14" spans="2:39" x14ac:dyDescent="0.25">
      <c r="B14" s="2"/>
      <c r="C14" s="8"/>
      <c r="D14" s="3" t="s">
        <v>31</v>
      </c>
      <c r="E14" s="3" t="s">
        <v>32</v>
      </c>
      <c r="F14" s="4">
        <v>0</v>
      </c>
      <c r="G14" s="4">
        <v>1143.3399999999999</v>
      </c>
      <c r="H14" s="4">
        <v>1143.3399999999999</v>
      </c>
      <c r="I14" s="19">
        <v>0</v>
      </c>
      <c r="J14" s="21">
        <v>-1143.3399999999999</v>
      </c>
      <c r="L14" s="28"/>
      <c r="M14" s="28"/>
      <c r="N14" s="68"/>
      <c r="O14" s="25" t="s">
        <v>99</v>
      </c>
      <c r="P14" s="25" t="s">
        <v>105</v>
      </c>
      <c r="Q14" s="25" t="s">
        <v>95</v>
      </c>
      <c r="R14" s="25" t="s">
        <v>87</v>
      </c>
      <c r="S14" s="24">
        <v>45469</v>
      </c>
      <c r="T14" s="25" t="s">
        <v>83</v>
      </c>
      <c r="U14" s="25" t="s">
        <v>106</v>
      </c>
      <c r="V14" s="25" t="s">
        <v>102</v>
      </c>
      <c r="W14" s="52" t="s">
        <v>83</v>
      </c>
      <c r="X14" s="52" t="s">
        <v>83</v>
      </c>
      <c r="Y14" s="53">
        <v>0</v>
      </c>
      <c r="Z14" s="53">
        <v>8362.64</v>
      </c>
      <c r="AA14" s="5">
        <v>0</v>
      </c>
      <c r="AC14" s="28"/>
      <c r="AD14" s="29"/>
      <c r="AE14" s="29"/>
      <c r="AF14" s="29"/>
      <c r="AG14" s="30" t="s">
        <v>110</v>
      </c>
      <c r="AH14" s="31"/>
      <c r="AI14" s="31"/>
      <c r="AJ14" s="31"/>
      <c r="AK14" s="31"/>
      <c r="AL14" s="32">
        <v>0</v>
      </c>
      <c r="AM14" s="33">
        <v>4734.55</v>
      </c>
    </row>
    <row r="15" spans="2:39" x14ac:dyDescent="0.25">
      <c r="B15" s="2"/>
      <c r="C15" s="8"/>
      <c r="D15" s="3" t="s">
        <v>33</v>
      </c>
      <c r="E15" s="3" t="s">
        <v>34</v>
      </c>
      <c r="F15" s="4">
        <v>0</v>
      </c>
      <c r="G15" s="4">
        <v>441.8</v>
      </c>
      <c r="H15" s="4">
        <v>441.8</v>
      </c>
      <c r="I15" s="19">
        <v>0</v>
      </c>
      <c r="J15" s="21">
        <v>-441.8</v>
      </c>
      <c r="L15" s="28"/>
      <c r="M15" s="28"/>
      <c r="N15" s="24">
        <v>45483</v>
      </c>
      <c r="O15" s="25" t="s">
        <v>99</v>
      </c>
      <c r="P15" s="25" t="s">
        <v>107</v>
      </c>
      <c r="Q15" s="25" t="s">
        <v>95</v>
      </c>
      <c r="R15" s="25" t="s">
        <v>87</v>
      </c>
      <c r="S15" s="24">
        <v>45483</v>
      </c>
      <c r="T15" s="25" t="s">
        <v>83</v>
      </c>
      <c r="U15" s="25" t="s">
        <v>106</v>
      </c>
      <c r="V15" s="25" t="s">
        <v>102</v>
      </c>
      <c r="W15" s="52" t="s">
        <v>83</v>
      </c>
      <c r="X15" s="52" t="s">
        <v>83</v>
      </c>
      <c r="Y15" s="53">
        <v>0</v>
      </c>
      <c r="Z15" s="53">
        <v>3216.4</v>
      </c>
      <c r="AA15" s="5">
        <v>0</v>
      </c>
      <c r="AC15" s="29"/>
      <c r="AD15" s="34" t="s">
        <v>355</v>
      </c>
      <c r="AE15" s="35"/>
      <c r="AF15" s="35"/>
      <c r="AG15" s="35"/>
      <c r="AH15" s="35"/>
      <c r="AI15" s="35"/>
      <c r="AJ15" s="35"/>
      <c r="AK15" s="35"/>
      <c r="AL15" s="36">
        <v>184</v>
      </c>
      <c r="AM15" s="37">
        <v>19529.990000000002</v>
      </c>
    </row>
    <row r="16" spans="2:39" x14ac:dyDescent="0.25">
      <c r="B16" s="2"/>
      <c r="C16" s="8"/>
      <c r="D16" s="3" t="s">
        <v>35</v>
      </c>
      <c r="E16" s="3" t="s">
        <v>36</v>
      </c>
      <c r="F16" s="4">
        <v>0</v>
      </c>
      <c r="G16" s="4">
        <v>1757.21</v>
      </c>
      <c r="H16" s="4">
        <v>1757.21</v>
      </c>
      <c r="I16" s="19">
        <v>0</v>
      </c>
      <c r="J16" s="21">
        <v>-1757.21</v>
      </c>
      <c r="L16" s="29"/>
      <c r="M16" s="29"/>
      <c r="N16" s="24">
        <v>45485</v>
      </c>
      <c r="O16" s="25" t="s">
        <v>93</v>
      </c>
      <c r="P16" s="25" t="s">
        <v>108</v>
      </c>
      <c r="Q16" s="25" t="s">
        <v>98</v>
      </c>
      <c r="R16" s="25" t="s">
        <v>87</v>
      </c>
      <c r="S16" s="24">
        <v>45485</v>
      </c>
      <c r="T16" s="25" t="s">
        <v>83</v>
      </c>
      <c r="U16" s="25" t="s">
        <v>83</v>
      </c>
      <c r="V16" s="25" t="s">
        <v>96</v>
      </c>
      <c r="W16" s="52" t="s">
        <v>83</v>
      </c>
      <c r="X16" s="52" t="s">
        <v>83</v>
      </c>
      <c r="Y16" s="53">
        <v>0</v>
      </c>
      <c r="Z16" s="53">
        <v>0</v>
      </c>
      <c r="AA16" s="5">
        <v>-80</v>
      </c>
      <c r="AC16" s="38" t="s">
        <v>343</v>
      </c>
      <c r="AD16" s="39"/>
      <c r="AE16" s="39"/>
      <c r="AF16" s="39"/>
      <c r="AG16" s="39"/>
      <c r="AH16" s="39"/>
      <c r="AI16" s="39"/>
      <c r="AJ16" s="39"/>
      <c r="AK16" s="39"/>
      <c r="AL16" s="40">
        <v>184</v>
      </c>
      <c r="AM16" s="41">
        <v>19529.990000000002</v>
      </c>
    </row>
    <row r="17" spans="2:39" x14ac:dyDescent="0.25">
      <c r="B17" s="2"/>
      <c r="C17" s="8"/>
      <c r="D17" s="3" t="s">
        <v>37</v>
      </c>
      <c r="E17" s="3" t="s">
        <v>38</v>
      </c>
      <c r="F17" s="4">
        <v>0</v>
      </c>
      <c r="G17" s="4">
        <v>11720.26</v>
      </c>
      <c r="H17" s="4">
        <v>11720.26</v>
      </c>
      <c r="I17" s="19">
        <v>0</v>
      </c>
      <c r="J17" s="21">
        <v>-11720.26</v>
      </c>
      <c r="L17" s="54" t="s">
        <v>109</v>
      </c>
      <c r="M17" s="55"/>
      <c r="N17" s="66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6">
        <v>0</v>
      </c>
      <c r="Z17" s="56">
        <v>14795.44</v>
      </c>
      <c r="AA17" s="57">
        <v>0</v>
      </c>
      <c r="AC17" s="42" t="s">
        <v>68</v>
      </c>
      <c r="AD17" s="43"/>
      <c r="AE17" s="43"/>
      <c r="AF17" s="43"/>
      <c r="AG17" s="43"/>
      <c r="AH17" s="43"/>
      <c r="AI17" s="43"/>
      <c r="AJ17" s="43"/>
      <c r="AK17" s="43"/>
      <c r="AL17" s="44">
        <v>184</v>
      </c>
      <c r="AM17" s="45">
        <v>19529.990000000002</v>
      </c>
    </row>
    <row r="18" spans="2:39" x14ac:dyDescent="0.25">
      <c r="B18" s="2"/>
      <c r="C18" s="8"/>
      <c r="D18" s="3" t="s">
        <v>39</v>
      </c>
      <c r="E18" s="3" t="s">
        <v>40</v>
      </c>
      <c r="F18" s="4">
        <v>0</v>
      </c>
      <c r="G18" s="4">
        <v>11705.31</v>
      </c>
      <c r="H18" s="4">
        <v>11705.31</v>
      </c>
      <c r="I18" s="19">
        <v>0</v>
      </c>
      <c r="J18" s="21">
        <v>-11705.31</v>
      </c>
      <c r="L18" s="23" t="s">
        <v>22</v>
      </c>
      <c r="M18" s="23" t="s">
        <v>23</v>
      </c>
      <c r="N18" s="24">
        <v>45434</v>
      </c>
      <c r="O18" s="25" t="s">
        <v>93</v>
      </c>
      <c r="P18" s="25" t="s">
        <v>94</v>
      </c>
      <c r="Q18" s="25" t="s">
        <v>95</v>
      </c>
      <c r="R18" s="25" t="s">
        <v>87</v>
      </c>
      <c r="S18" s="24">
        <v>45434</v>
      </c>
      <c r="T18" s="25" t="s">
        <v>83</v>
      </c>
      <c r="U18" s="25" t="s">
        <v>83</v>
      </c>
      <c r="V18" s="25" t="s">
        <v>96</v>
      </c>
      <c r="W18" s="52" t="s">
        <v>83</v>
      </c>
      <c r="X18" s="52" t="s">
        <v>83</v>
      </c>
      <c r="Y18" s="53">
        <v>0</v>
      </c>
      <c r="Z18" s="53">
        <v>0</v>
      </c>
      <c r="AA18" s="5">
        <v>180.16</v>
      </c>
    </row>
    <row r="19" spans="2:39" x14ac:dyDescent="0.25">
      <c r="B19" s="2"/>
      <c r="C19" s="8"/>
      <c r="D19" s="3" t="s">
        <v>41</v>
      </c>
      <c r="E19" s="3" t="s">
        <v>42</v>
      </c>
      <c r="F19" s="4">
        <v>0</v>
      </c>
      <c r="G19" s="4">
        <v>1400</v>
      </c>
      <c r="H19" s="4">
        <v>1400</v>
      </c>
      <c r="I19" s="19">
        <v>0</v>
      </c>
      <c r="J19" s="21">
        <v>-1400</v>
      </c>
      <c r="L19" s="28"/>
      <c r="M19" s="28"/>
      <c r="N19" s="67">
        <v>45441</v>
      </c>
      <c r="O19" s="25" t="s">
        <v>93</v>
      </c>
      <c r="P19" s="25" t="s">
        <v>97</v>
      </c>
      <c r="Q19" s="25" t="s">
        <v>98</v>
      </c>
      <c r="R19" s="25" t="s">
        <v>87</v>
      </c>
      <c r="S19" s="24">
        <v>45441</v>
      </c>
      <c r="T19" s="25" t="s">
        <v>83</v>
      </c>
      <c r="U19" s="25" t="s">
        <v>83</v>
      </c>
      <c r="V19" s="25" t="s">
        <v>96</v>
      </c>
      <c r="W19" s="52" t="s">
        <v>83</v>
      </c>
      <c r="X19" s="52" t="s">
        <v>83</v>
      </c>
      <c r="Y19" s="53">
        <v>0</v>
      </c>
      <c r="Z19" s="53">
        <v>0</v>
      </c>
      <c r="AA19" s="5">
        <v>-51.52</v>
      </c>
    </row>
    <row r="20" spans="2:39" x14ac:dyDescent="0.25">
      <c r="B20" s="2"/>
      <c r="C20" s="8"/>
      <c r="D20" s="3" t="s">
        <v>43</v>
      </c>
      <c r="E20" s="3" t="s">
        <v>44</v>
      </c>
      <c r="F20" s="4">
        <v>0</v>
      </c>
      <c r="G20" s="4">
        <v>54.75</v>
      </c>
      <c r="H20" s="4">
        <v>54.75</v>
      </c>
      <c r="I20" s="19">
        <v>0</v>
      </c>
      <c r="J20" s="21">
        <v>-54.75</v>
      </c>
      <c r="L20" s="28"/>
      <c r="M20" s="28"/>
      <c r="N20" s="68"/>
      <c r="O20" s="25" t="s">
        <v>99</v>
      </c>
      <c r="P20" s="25" t="s">
        <v>100</v>
      </c>
      <c r="Q20" s="25" t="s">
        <v>95</v>
      </c>
      <c r="R20" s="25" t="s">
        <v>87</v>
      </c>
      <c r="S20" s="24">
        <v>45441</v>
      </c>
      <c r="T20" s="25" t="s">
        <v>83</v>
      </c>
      <c r="U20" s="25" t="s">
        <v>101</v>
      </c>
      <c r="V20" s="25" t="s">
        <v>102</v>
      </c>
      <c r="W20" s="52" t="s">
        <v>83</v>
      </c>
      <c r="X20" s="52" t="s">
        <v>83</v>
      </c>
      <c r="Y20" s="53">
        <v>0</v>
      </c>
      <c r="Z20" s="53">
        <v>1029.25</v>
      </c>
      <c r="AA20" s="5">
        <v>0</v>
      </c>
    </row>
    <row r="21" spans="2:39" x14ac:dyDescent="0.25">
      <c r="B21" s="2"/>
      <c r="C21" s="8"/>
      <c r="D21" s="3" t="s">
        <v>45</v>
      </c>
      <c r="E21" s="3" t="s">
        <v>46</v>
      </c>
      <c r="F21" s="4">
        <v>0</v>
      </c>
      <c r="G21" s="4">
        <v>1046.4100000000001</v>
      </c>
      <c r="H21" s="4">
        <v>1046.4100000000001</v>
      </c>
      <c r="I21" s="19">
        <v>0</v>
      </c>
      <c r="J21" s="21">
        <v>-1046.4100000000001</v>
      </c>
      <c r="L21" s="28"/>
      <c r="M21" s="28"/>
      <c r="N21" s="24">
        <v>45455</v>
      </c>
      <c r="O21" s="25" t="s">
        <v>93</v>
      </c>
      <c r="P21" s="25" t="s">
        <v>103</v>
      </c>
      <c r="Q21" s="25" t="s">
        <v>98</v>
      </c>
      <c r="R21" s="25" t="s">
        <v>87</v>
      </c>
      <c r="S21" s="24">
        <v>45455</v>
      </c>
      <c r="T21" s="25" t="s">
        <v>83</v>
      </c>
      <c r="U21" s="25" t="s">
        <v>83</v>
      </c>
      <c r="V21" s="25" t="s">
        <v>96</v>
      </c>
      <c r="W21" s="52" t="s">
        <v>83</v>
      </c>
      <c r="X21" s="52" t="s">
        <v>83</v>
      </c>
      <c r="Y21" s="53">
        <v>0</v>
      </c>
      <c r="Z21" s="53">
        <v>0</v>
      </c>
      <c r="AA21" s="5">
        <v>-51.52</v>
      </c>
    </row>
    <row r="22" spans="2:39" x14ac:dyDescent="0.25">
      <c r="B22" s="2"/>
      <c r="C22" s="8"/>
      <c r="D22" s="3" t="s">
        <v>47</v>
      </c>
      <c r="E22" s="3" t="s">
        <v>48</v>
      </c>
      <c r="F22" s="4">
        <v>0</v>
      </c>
      <c r="G22" s="4">
        <v>5550.42</v>
      </c>
      <c r="H22" s="4">
        <v>5550.42</v>
      </c>
      <c r="I22" s="19">
        <v>0</v>
      </c>
      <c r="J22" s="21">
        <v>-5550.42</v>
      </c>
      <c r="L22" s="28"/>
      <c r="M22" s="28"/>
      <c r="N22" s="67">
        <v>45469</v>
      </c>
      <c r="O22" s="25" t="s">
        <v>93</v>
      </c>
      <c r="P22" s="25" t="s">
        <v>104</v>
      </c>
      <c r="Q22" s="25" t="s">
        <v>98</v>
      </c>
      <c r="R22" s="25" t="s">
        <v>87</v>
      </c>
      <c r="S22" s="24">
        <v>45469</v>
      </c>
      <c r="T22" s="25" t="s">
        <v>83</v>
      </c>
      <c r="U22" s="25" t="s">
        <v>83</v>
      </c>
      <c r="V22" s="25" t="s">
        <v>96</v>
      </c>
      <c r="W22" s="52" t="s">
        <v>83</v>
      </c>
      <c r="X22" s="52" t="s">
        <v>83</v>
      </c>
      <c r="Y22" s="53">
        <v>0</v>
      </c>
      <c r="Z22" s="53">
        <v>0</v>
      </c>
      <c r="AA22" s="5">
        <v>-51.52</v>
      </c>
    </row>
    <row r="23" spans="2:39" x14ac:dyDescent="0.25">
      <c r="B23" s="2"/>
      <c r="C23" s="8"/>
      <c r="D23" s="3" t="s">
        <v>49</v>
      </c>
      <c r="E23" s="3" t="s">
        <v>50</v>
      </c>
      <c r="F23" s="4">
        <v>0</v>
      </c>
      <c r="G23" s="4">
        <v>49076.25</v>
      </c>
      <c r="H23" s="4">
        <v>49076.25</v>
      </c>
      <c r="I23" s="19">
        <v>483.2</v>
      </c>
      <c r="J23" s="21">
        <v>-49559.45</v>
      </c>
      <c r="L23" s="28"/>
      <c r="M23" s="28"/>
      <c r="N23" s="68"/>
      <c r="O23" s="25" t="s">
        <v>99</v>
      </c>
      <c r="P23" s="25" t="s">
        <v>105</v>
      </c>
      <c r="Q23" s="25" t="s">
        <v>95</v>
      </c>
      <c r="R23" s="25" t="s">
        <v>87</v>
      </c>
      <c r="S23" s="24">
        <v>45469</v>
      </c>
      <c r="T23" s="25" t="s">
        <v>83</v>
      </c>
      <c r="U23" s="25" t="s">
        <v>106</v>
      </c>
      <c r="V23" s="25" t="s">
        <v>102</v>
      </c>
      <c r="W23" s="52" t="s">
        <v>83</v>
      </c>
      <c r="X23" s="52" t="s">
        <v>83</v>
      </c>
      <c r="Y23" s="53">
        <v>0</v>
      </c>
      <c r="Z23" s="53">
        <v>2676.05</v>
      </c>
      <c r="AA23" s="5">
        <v>0</v>
      </c>
    </row>
    <row r="24" spans="2:39" x14ac:dyDescent="0.25">
      <c r="B24" s="2"/>
      <c r="C24" s="8"/>
      <c r="D24" s="3" t="s">
        <v>51</v>
      </c>
      <c r="E24" s="3" t="s">
        <v>52</v>
      </c>
      <c r="F24" s="4">
        <v>0</v>
      </c>
      <c r="G24" s="4">
        <v>2457.94</v>
      </c>
      <c r="H24" s="4">
        <v>2457.94</v>
      </c>
      <c r="I24" s="19">
        <v>0</v>
      </c>
      <c r="J24" s="21">
        <v>-2457.94</v>
      </c>
      <c r="L24" s="28"/>
      <c r="M24" s="28"/>
      <c r="N24" s="24">
        <v>45483</v>
      </c>
      <c r="O24" s="25" t="s">
        <v>99</v>
      </c>
      <c r="P24" s="25" t="s">
        <v>107</v>
      </c>
      <c r="Q24" s="25" t="s">
        <v>95</v>
      </c>
      <c r="R24" s="25" t="s">
        <v>87</v>
      </c>
      <c r="S24" s="24">
        <v>45483</v>
      </c>
      <c r="T24" s="25" t="s">
        <v>83</v>
      </c>
      <c r="U24" s="25" t="s">
        <v>106</v>
      </c>
      <c r="V24" s="25" t="s">
        <v>102</v>
      </c>
      <c r="W24" s="52" t="s">
        <v>83</v>
      </c>
      <c r="X24" s="52" t="s">
        <v>83</v>
      </c>
      <c r="Y24" s="53">
        <v>0</v>
      </c>
      <c r="Z24" s="53">
        <v>1029.25</v>
      </c>
      <c r="AA24" s="5">
        <v>0</v>
      </c>
    </row>
    <row r="25" spans="2:39" x14ac:dyDescent="0.25">
      <c r="B25" s="2"/>
      <c r="C25" s="8"/>
      <c r="D25" s="3" t="s">
        <v>53</v>
      </c>
      <c r="E25" s="3" t="s">
        <v>54</v>
      </c>
      <c r="F25" s="4">
        <v>0</v>
      </c>
      <c r="G25" s="4">
        <v>788.57</v>
      </c>
      <c r="H25" s="4">
        <v>788.57</v>
      </c>
      <c r="I25" s="19">
        <v>0</v>
      </c>
      <c r="J25" s="21">
        <v>-788.57</v>
      </c>
      <c r="L25" s="29"/>
      <c r="M25" s="29"/>
      <c r="N25" s="24">
        <v>45485</v>
      </c>
      <c r="O25" s="25" t="s">
        <v>93</v>
      </c>
      <c r="P25" s="25" t="s">
        <v>108</v>
      </c>
      <c r="Q25" s="25" t="s">
        <v>98</v>
      </c>
      <c r="R25" s="25" t="s">
        <v>87</v>
      </c>
      <c r="S25" s="24">
        <v>45485</v>
      </c>
      <c r="T25" s="25" t="s">
        <v>83</v>
      </c>
      <c r="U25" s="25" t="s">
        <v>83</v>
      </c>
      <c r="V25" s="25" t="s">
        <v>96</v>
      </c>
      <c r="W25" s="52" t="s">
        <v>83</v>
      </c>
      <c r="X25" s="52" t="s">
        <v>83</v>
      </c>
      <c r="Y25" s="53">
        <v>0</v>
      </c>
      <c r="Z25" s="53">
        <v>0</v>
      </c>
      <c r="AA25" s="5">
        <v>-25.6</v>
      </c>
    </row>
    <row r="26" spans="2:39" x14ac:dyDescent="0.25">
      <c r="B26" s="2"/>
      <c r="C26" s="9"/>
      <c r="D26" s="3" t="s">
        <v>55</v>
      </c>
      <c r="E26" s="3" t="s">
        <v>56</v>
      </c>
      <c r="F26" s="4">
        <v>0</v>
      </c>
      <c r="G26" s="4">
        <v>0</v>
      </c>
      <c r="H26" s="4">
        <v>0</v>
      </c>
      <c r="I26" s="19">
        <v>0</v>
      </c>
      <c r="J26" s="21">
        <v>0</v>
      </c>
      <c r="L26" s="54" t="s">
        <v>110</v>
      </c>
      <c r="M26" s="55"/>
      <c r="N26" s="66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6">
        <v>0</v>
      </c>
      <c r="Z26" s="56">
        <v>4734.55</v>
      </c>
      <c r="AA26" s="57">
        <v>-2.8421709430404001E-14</v>
      </c>
    </row>
    <row r="27" spans="2:39" x14ac:dyDescent="0.25">
      <c r="B27" s="2"/>
      <c r="C27" s="8" t="s">
        <v>57</v>
      </c>
      <c r="D27" s="3" t="s">
        <v>58</v>
      </c>
      <c r="E27" s="3" t="s">
        <v>59</v>
      </c>
      <c r="F27" s="4">
        <v>0</v>
      </c>
      <c r="G27" s="4">
        <v>142.27000000000001</v>
      </c>
      <c r="H27" s="4">
        <v>142.27000000000001</v>
      </c>
      <c r="I27" s="19">
        <v>0</v>
      </c>
      <c r="J27" s="21">
        <v>-142.27000000000001</v>
      </c>
      <c r="L27" s="25" t="s">
        <v>25</v>
      </c>
      <c r="M27" s="25" t="s">
        <v>26</v>
      </c>
      <c r="N27" s="24">
        <v>45365</v>
      </c>
      <c r="O27" s="25" t="s">
        <v>111</v>
      </c>
      <c r="P27" s="25" t="s">
        <v>112</v>
      </c>
      <c r="Q27" s="25" t="s">
        <v>113</v>
      </c>
      <c r="R27" s="60" t="s">
        <v>114</v>
      </c>
      <c r="S27" s="24">
        <v>45365</v>
      </c>
      <c r="T27" s="25" t="s">
        <v>83</v>
      </c>
      <c r="U27" s="25" t="s">
        <v>83</v>
      </c>
      <c r="V27" s="25" t="s">
        <v>115</v>
      </c>
      <c r="W27" s="52" t="s">
        <v>116</v>
      </c>
      <c r="X27" s="52" t="s">
        <v>83</v>
      </c>
      <c r="Y27" s="53">
        <v>0</v>
      </c>
      <c r="Z27" s="53">
        <v>196.08</v>
      </c>
      <c r="AA27" s="5">
        <v>0</v>
      </c>
    </row>
    <row r="28" spans="2:39" x14ac:dyDescent="0.25">
      <c r="B28" s="2"/>
      <c r="C28" s="8"/>
      <c r="D28" s="3" t="s">
        <v>60</v>
      </c>
      <c r="E28" s="3" t="s">
        <v>61</v>
      </c>
      <c r="F28" s="4">
        <v>0</v>
      </c>
      <c r="G28" s="4">
        <v>1399.15</v>
      </c>
      <c r="H28" s="4">
        <v>1399.15</v>
      </c>
      <c r="I28" s="19">
        <v>0</v>
      </c>
      <c r="J28" s="21">
        <v>-1399.15</v>
      </c>
      <c r="L28" s="54" t="s">
        <v>117</v>
      </c>
      <c r="M28" s="55"/>
      <c r="N28" s="66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6">
        <v>0</v>
      </c>
      <c r="Z28" s="56">
        <v>196.08</v>
      </c>
      <c r="AA28" s="57">
        <v>0</v>
      </c>
    </row>
    <row r="29" spans="2:39" x14ac:dyDescent="0.25">
      <c r="B29" s="2"/>
      <c r="C29" s="9"/>
      <c r="D29" s="3" t="s">
        <v>62</v>
      </c>
      <c r="E29" s="3" t="s">
        <v>63</v>
      </c>
      <c r="F29" s="4">
        <v>0</v>
      </c>
      <c r="G29" s="4">
        <v>847.86</v>
      </c>
      <c r="H29" s="4">
        <v>847.86</v>
      </c>
      <c r="I29" s="19">
        <v>0</v>
      </c>
      <c r="J29" s="21">
        <v>-847.86</v>
      </c>
      <c r="L29" s="25" t="s">
        <v>27</v>
      </c>
      <c r="M29" s="25" t="s">
        <v>28</v>
      </c>
      <c r="N29" s="24">
        <v>45462</v>
      </c>
      <c r="O29" s="25" t="s">
        <v>111</v>
      </c>
      <c r="P29" s="25" t="s">
        <v>118</v>
      </c>
      <c r="Q29" s="25" t="s">
        <v>113</v>
      </c>
      <c r="R29" s="60" t="s">
        <v>114</v>
      </c>
      <c r="S29" s="24">
        <v>45463</v>
      </c>
      <c r="T29" s="25" t="s">
        <v>83</v>
      </c>
      <c r="U29" s="25" t="s">
        <v>83</v>
      </c>
      <c r="V29" s="25" t="s">
        <v>119</v>
      </c>
      <c r="W29" s="52" t="s">
        <v>120</v>
      </c>
      <c r="X29" s="52" t="s">
        <v>83</v>
      </c>
      <c r="Y29" s="53">
        <v>0</v>
      </c>
      <c r="Z29" s="53">
        <v>81.56</v>
      </c>
      <c r="AA29" s="5">
        <v>0</v>
      </c>
    </row>
    <row r="30" spans="2:39" x14ac:dyDescent="0.25">
      <c r="B30" s="2"/>
      <c r="C30" s="9" t="s">
        <v>64</v>
      </c>
      <c r="D30" s="3" t="s">
        <v>65</v>
      </c>
      <c r="E30" s="9" t="s">
        <v>66</v>
      </c>
      <c r="F30" s="10">
        <v>0</v>
      </c>
      <c r="G30" s="10">
        <v>342851.71</v>
      </c>
      <c r="H30" s="10">
        <v>342851.71</v>
      </c>
      <c r="I30" s="20">
        <v>13409.23</v>
      </c>
      <c r="J30" s="22">
        <v>-356260.94</v>
      </c>
      <c r="L30" s="54" t="s">
        <v>121</v>
      </c>
      <c r="M30" s="55"/>
      <c r="N30" s="66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6">
        <v>0</v>
      </c>
      <c r="Z30" s="56">
        <v>81.56</v>
      </c>
      <c r="AA30" s="57">
        <v>0</v>
      </c>
    </row>
    <row r="31" spans="2:39" ht="15" customHeight="1" x14ac:dyDescent="0.25">
      <c r="B31" s="11"/>
      <c r="C31" s="6" t="s">
        <v>67</v>
      </c>
      <c r="D31" s="6"/>
      <c r="E31" s="6"/>
      <c r="F31" s="7">
        <v>500000</v>
      </c>
      <c r="G31" s="7">
        <v>452230.88</v>
      </c>
      <c r="H31" s="7">
        <v>452230.88</v>
      </c>
      <c r="I31" s="7">
        <v>13892.43</v>
      </c>
      <c r="J31" s="7">
        <v>33876.6899999999</v>
      </c>
      <c r="L31" s="25" t="s">
        <v>29</v>
      </c>
      <c r="M31" s="25" t="s">
        <v>30</v>
      </c>
      <c r="N31" s="24">
        <v>45342</v>
      </c>
      <c r="O31" s="25" t="s">
        <v>111</v>
      </c>
      <c r="P31" s="25" t="s">
        <v>122</v>
      </c>
      <c r="Q31" s="25" t="s">
        <v>113</v>
      </c>
      <c r="R31" s="60" t="s">
        <v>114</v>
      </c>
      <c r="S31" s="24">
        <v>45342</v>
      </c>
      <c r="T31" s="25" t="s">
        <v>83</v>
      </c>
      <c r="U31" s="25" t="s">
        <v>83</v>
      </c>
      <c r="V31" s="25" t="s">
        <v>123</v>
      </c>
      <c r="W31" s="52" t="s">
        <v>124</v>
      </c>
      <c r="X31" s="52" t="s">
        <v>83</v>
      </c>
      <c r="Y31" s="53">
        <v>0</v>
      </c>
      <c r="Z31" s="53">
        <v>40</v>
      </c>
      <c r="AA31" s="5">
        <v>0</v>
      </c>
    </row>
    <row r="32" spans="2:39" ht="15" customHeight="1" x14ac:dyDescent="0.25">
      <c r="B32" s="12" t="s">
        <v>68</v>
      </c>
      <c r="C32" s="12"/>
      <c r="D32" s="12"/>
      <c r="E32" s="12"/>
      <c r="F32" s="13">
        <v>500000</v>
      </c>
      <c r="G32" s="13">
        <v>-47769.120000000003</v>
      </c>
      <c r="H32" s="13">
        <v>-47769.120000000003</v>
      </c>
      <c r="I32" s="13">
        <v>13892.43</v>
      </c>
      <c r="J32" s="13">
        <v>533876.68999999994</v>
      </c>
      <c r="L32" s="54" t="s">
        <v>125</v>
      </c>
      <c r="M32" s="55"/>
      <c r="N32" s="66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6">
        <v>0</v>
      </c>
      <c r="Z32" s="56">
        <v>40</v>
      </c>
      <c r="AA32" s="57">
        <v>0</v>
      </c>
    </row>
    <row r="33" spans="12:27" x14ac:dyDescent="0.25">
      <c r="L33" s="23" t="s">
        <v>31</v>
      </c>
      <c r="M33" s="23" t="s">
        <v>32</v>
      </c>
      <c r="N33" s="24">
        <v>45412</v>
      </c>
      <c r="O33" s="25" t="s">
        <v>111</v>
      </c>
      <c r="P33" s="25" t="s">
        <v>126</v>
      </c>
      <c r="Q33" s="25" t="s">
        <v>113</v>
      </c>
      <c r="R33" s="60" t="s">
        <v>114</v>
      </c>
      <c r="S33" s="24">
        <v>45412</v>
      </c>
      <c r="T33" s="25" t="s">
        <v>83</v>
      </c>
      <c r="U33" s="25" t="s">
        <v>83</v>
      </c>
      <c r="V33" s="25" t="s">
        <v>127</v>
      </c>
      <c r="W33" s="52" t="s">
        <v>128</v>
      </c>
      <c r="X33" s="52" t="s">
        <v>83</v>
      </c>
      <c r="Y33" s="53">
        <v>0</v>
      </c>
      <c r="Z33" s="53">
        <v>1065.0999999999999</v>
      </c>
      <c r="AA33" s="5">
        <v>0</v>
      </c>
    </row>
    <row r="34" spans="12:27" x14ac:dyDescent="0.25">
      <c r="L34" s="29"/>
      <c r="M34" s="29"/>
      <c r="N34" s="24">
        <v>45414</v>
      </c>
      <c r="O34" s="25" t="s">
        <v>111</v>
      </c>
      <c r="P34" s="25" t="s">
        <v>129</v>
      </c>
      <c r="Q34" s="25" t="s">
        <v>113</v>
      </c>
      <c r="R34" s="60" t="s">
        <v>114</v>
      </c>
      <c r="S34" s="24">
        <v>45414</v>
      </c>
      <c r="T34" s="25" t="s">
        <v>83</v>
      </c>
      <c r="U34" s="25" t="s">
        <v>83</v>
      </c>
      <c r="V34" s="25" t="s">
        <v>130</v>
      </c>
      <c r="W34" s="52" t="s">
        <v>131</v>
      </c>
      <c r="X34" s="52" t="s">
        <v>83</v>
      </c>
      <c r="Y34" s="53">
        <v>0</v>
      </c>
      <c r="Z34" s="53">
        <v>78.239999999999995</v>
      </c>
      <c r="AA34" s="5">
        <v>0</v>
      </c>
    </row>
    <row r="35" spans="12:27" x14ac:dyDescent="0.25">
      <c r="L35" s="54" t="s">
        <v>132</v>
      </c>
      <c r="M35" s="55"/>
      <c r="N35" s="66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6">
        <v>0</v>
      </c>
      <c r="Z35" s="56">
        <v>1143.3399999999999</v>
      </c>
      <c r="AA35" s="57">
        <v>0</v>
      </c>
    </row>
    <row r="36" spans="12:27" x14ac:dyDescent="0.25">
      <c r="L36" s="25" t="s">
        <v>33</v>
      </c>
      <c r="M36" s="25" t="s">
        <v>34</v>
      </c>
      <c r="N36" s="24">
        <v>45365</v>
      </c>
      <c r="O36" s="25" t="s">
        <v>111</v>
      </c>
      <c r="P36" s="25" t="s">
        <v>133</v>
      </c>
      <c r="Q36" s="25" t="s">
        <v>113</v>
      </c>
      <c r="R36" s="60" t="s">
        <v>114</v>
      </c>
      <c r="S36" s="24">
        <v>45365</v>
      </c>
      <c r="T36" s="25" t="s">
        <v>83</v>
      </c>
      <c r="U36" s="25" t="s">
        <v>83</v>
      </c>
      <c r="V36" s="25" t="s">
        <v>134</v>
      </c>
      <c r="W36" s="52" t="s">
        <v>135</v>
      </c>
      <c r="X36" s="52" t="s">
        <v>83</v>
      </c>
      <c r="Y36" s="53">
        <v>0</v>
      </c>
      <c r="Z36" s="53">
        <v>441.8</v>
      </c>
      <c r="AA36" s="5">
        <v>0</v>
      </c>
    </row>
    <row r="37" spans="12:27" x14ac:dyDescent="0.25">
      <c r="L37" s="54" t="s">
        <v>136</v>
      </c>
      <c r="M37" s="55"/>
      <c r="N37" s="66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6">
        <v>0</v>
      </c>
      <c r="Z37" s="56">
        <v>441.8</v>
      </c>
      <c r="AA37" s="57">
        <v>0</v>
      </c>
    </row>
    <row r="38" spans="12:27" x14ac:dyDescent="0.25">
      <c r="L38" s="23" t="s">
        <v>35</v>
      </c>
      <c r="M38" s="23" t="s">
        <v>36</v>
      </c>
      <c r="N38" s="67">
        <v>45365</v>
      </c>
      <c r="O38" s="23" t="s">
        <v>111</v>
      </c>
      <c r="P38" s="25" t="s">
        <v>137</v>
      </c>
      <c r="Q38" s="25" t="s">
        <v>113</v>
      </c>
      <c r="R38" s="60" t="s">
        <v>114</v>
      </c>
      <c r="S38" s="24">
        <v>45365</v>
      </c>
      <c r="T38" s="25" t="s">
        <v>83</v>
      </c>
      <c r="U38" s="25" t="s">
        <v>83</v>
      </c>
      <c r="V38" s="25" t="s">
        <v>138</v>
      </c>
      <c r="W38" s="52" t="s">
        <v>139</v>
      </c>
      <c r="X38" s="52" t="s">
        <v>83</v>
      </c>
      <c r="Y38" s="53">
        <v>0</v>
      </c>
      <c r="Z38" s="53">
        <v>294.08999999999997</v>
      </c>
      <c r="AA38" s="5">
        <v>0</v>
      </c>
    </row>
    <row r="39" spans="12:27" x14ac:dyDescent="0.25">
      <c r="L39" s="28"/>
      <c r="M39" s="28"/>
      <c r="N39" s="68"/>
      <c r="O39" s="29"/>
      <c r="P39" s="25" t="s">
        <v>140</v>
      </c>
      <c r="Q39" s="25" t="s">
        <v>113</v>
      </c>
      <c r="R39" s="60" t="s">
        <v>114</v>
      </c>
      <c r="S39" s="24">
        <v>45365</v>
      </c>
      <c r="T39" s="25" t="s">
        <v>83</v>
      </c>
      <c r="U39" s="25" t="s">
        <v>83</v>
      </c>
      <c r="V39" s="25" t="s">
        <v>138</v>
      </c>
      <c r="W39" s="52" t="s">
        <v>141</v>
      </c>
      <c r="X39" s="52" t="s">
        <v>83</v>
      </c>
      <c r="Y39" s="53">
        <v>0</v>
      </c>
      <c r="Z39" s="53">
        <v>522.01</v>
      </c>
      <c r="AA39" s="5">
        <v>0</v>
      </c>
    </row>
    <row r="40" spans="12:27" x14ac:dyDescent="0.25">
      <c r="L40" s="28"/>
      <c r="M40" s="28"/>
      <c r="N40" s="24">
        <v>45373</v>
      </c>
      <c r="O40" s="25" t="s">
        <v>111</v>
      </c>
      <c r="P40" s="25" t="s">
        <v>142</v>
      </c>
      <c r="Q40" s="25" t="s">
        <v>113</v>
      </c>
      <c r="R40" s="60" t="s">
        <v>114</v>
      </c>
      <c r="S40" s="24">
        <v>45373</v>
      </c>
      <c r="T40" s="25" t="s">
        <v>83</v>
      </c>
      <c r="U40" s="25" t="s">
        <v>83</v>
      </c>
      <c r="V40" s="25" t="s">
        <v>143</v>
      </c>
      <c r="W40" s="52" t="s">
        <v>144</v>
      </c>
      <c r="X40" s="52" t="s">
        <v>83</v>
      </c>
      <c r="Y40" s="53">
        <v>0</v>
      </c>
      <c r="Z40" s="53">
        <v>-55.01</v>
      </c>
      <c r="AA40" s="5">
        <v>0</v>
      </c>
    </row>
    <row r="41" spans="12:27" x14ac:dyDescent="0.25">
      <c r="L41" s="28"/>
      <c r="M41" s="28"/>
      <c r="N41" s="67">
        <v>45390</v>
      </c>
      <c r="O41" s="23" t="s">
        <v>111</v>
      </c>
      <c r="P41" s="25" t="s">
        <v>145</v>
      </c>
      <c r="Q41" s="25" t="s">
        <v>113</v>
      </c>
      <c r="R41" s="60" t="s">
        <v>114</v>
      </c>
      <c r="S41" s="24">
        <v>45390</v>
      </c>
      <c r="T41" s="25" t="s">
        <v>83</v>
      </c>
      <c r="U41" s="25" t="s">
        <v>83</v>
      </c>
      <c r="V41" s="25" t="s">
        <v>146</v>
      </c>
      <c r="W41" s="52" t="s">
        <v>147</v>
      </c>
      <c r="X41" s="52" t="s">
        <v>83</v>
      </c>
      <c r="Y41" s="53">
        <v>0</v>
      </c>
      <c r="Z41" s="53">
        <v>702.37</v>
      </c>
      <c r="AA41" s="5">
        <v>0</v>
      </c>
    </row>
    <row r="42" spans="12:27" x14ac:dyDescent="0.25">
      <c r="L42" s="28"/>
      <c r="M42" s="28"/>
      <c r="N42" s="68"/>
      <c r="O42" s="29"/>
      <c r="P42" s="25" t="s">
        <v>148</v>
      </c>
      <c r="Q42" s="25" t="s">
        <v>113</v>
      </c>
      <c r="R42" s="60" t="s">
        <v>114</v>
      </c>
      <c r="S42" s="24">
        <v>45390</v>
      </c>
      <c r="T42" s="25" t="s">
        <v>83</v>
      </c>
      <c r="U42" s="25" t="s">
        <v>83</v>
      </c>
      <c r="V42" s="25" t="s">
        <v>146</v>
      </c>
      <c r="W42" s="52" t="s">
        <v>149</v>
      </c>
      <c r="X42" s="52" t="s">
        <v>83</v>
      </c>
      <c r="Y42" s="53">
        <v>0</v>
      </c>
      <c r="Z42" s="53">
        <v>217.77</v>
      </c>
      <c r="AA42" s="5">
        <v>0</v>
      </c>
    </row>
    <row r="43" spans="12:27" x14ac:dyDescent="0.25">
      <c r="L43" s="29"/>
      <c r="M43" s="29"/>
      <c r="N43" s="24">
        <v>45418</v>
      </c>
      <c r="O43" s="25" t="s">
        <v>111</v>
      </c>
      <c r="P43" s="25" t="s">
        <v>150</v>
      </c>
      <c r="Q43" s="25" t="s">
        <v>113</v>
      </c>
      <c r="R43" s="60" t="s">
        <v>114</v>
      </c>
      <c r="S43" s="24">
        <v>45418</v>
      </c>
      <c r="T43" s="25" t="s">
        <v>83</v>
      </c>
      <c r="U43" s="25" t="s">
        <v>83</v>
      </c>
      <c r="V43" s="25" t="s">
        <v>151</v>
      </c>
      <c r="W43" s="52" t="s">
        <v>152</v>
      </c>
      <c r="X43" s="52" t="s">
        <v>83</v>
      </c>
      <c r="Y43" s="53">
        <v>0</v>
      </c>
      <c r="Z43" s="53">
        <v>75.98</v>
      </c>
      <c r="AA43" s="5">
        <v>0</v>
      </c>
    </row>
    <row r="44" spans="12:27" x14ac:dyDescent="0.25">
      <c r="L44" s="54" t="s">
        <v>153</v>
      </c>
      <c r="M44" s="55"/>
      <c r="N44" s="66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6">
        <v>0</v>
      </c>
      <c r="Z44" s="56">
        <v>1757.21</v>
      </c>
      <c r="AA44" s="57">
        <v>0</v>
      </c>
    </row>
    <row r="45" spans="12:27" x14ac:dyDescent="0.25">
      <c r="L45" s="23" t="s">
        <v>37</v>
      </c>
      <c r="M45" s="23" t="s">
        <v>38</v>
      </c>
      <c r="N45" s="24">
        <v>45349</v>
      </c>
      <c r="O45" s="25" t="s">
        <v>154</v>
      </c>
      <c r="P45" s="25" t="s">
        <v>155</v>
      </c>
      <c r="Q45" s="25" t="s">
        <v>113</v>
      </c>
      <c r="R45" s="60" t="s">
        <v>114</v>
      </c>
      <c r="S45" s="24">
        <v>45349</v>
      </c>
      <c r="T45" s="25" t="s">
        <v>156</v>
      </c>
      <c r="U45" s="25" t="s">
        <v>83</v>
      </c>
      <c r="V45" s="25" t="s">
        <v>157</v>
      </c>
      <c r="W45" s="52" t="s">
        <v>158</v>
      </c>
      <c r="X45" s="52" t="s">
        <v>157</v>
      </c>
      <c r="Y45" s="53">
        <v>0</v>
      </c>
      <c r="Z45" s="53">
        <v>0</v>
      </c>
      <c r="AA45" s="5">
        <v>300</v>
      </c>
    </row>
    <row r="46" spans="12:27" x14ac:dyDescent="0.25">
      <c r="L46" s="28"/>
      <c r="M46" s="28"/>
      <c r="N46" s="24">
        <v>45351</v>
      </c>
      <c r="O46" s="25" t="s">
        <v>159</v>
      </c>
      <c r="P46" s="25" t="s">
        <v>160</v>
      </c>
      <c r="Q46" s="25" t="s">
        <v>113</v>
      </c>
      <c r="R46" s="60" t="s">
        <v>114</v>
      </c>
      <c r="S46" s="24">
        <v>45351</v>
      </c>
      <c r="T46" s="25" t="s">
        <v>156</v>
      </c>
      <c r="U46" s="25" t="s">
        <v>83</v>
      </c>
      <c r="V46" s="25" t="s">
        <v>157</v>
      </c>
      <c r="W46" s="52" t="s">
        <v>161</v>
      </c>
      <c r="X46" s="52" t="s">
        <v>157</v>
      </c>
      <c r="Y46" s="53">
        <v>0</v>
      </c>
      <c r="Z46" s="53">
        <v>300</v>
      </c>
      <c r="AA46" s="5">
        <v>-300</v>
      </c>
    </row>
    <row r="47" spans="12:27" x14ac:dyDescent="0.25">
      <c r="L47" s="28"/>
      <c r="M47" s="28"/>
      <c r="N47" s="24">
        <v>45373</v>
      </c>
      <c r="O47" s="25" t="s">
        <v>111</v>
      </c>
      <c r="P47" s="25" t="s">
        <v>162</v>
      </c>
      <c r="Q47" s="25" t="s">
        <v>113</v>
      </c>
      <c r="R47" s="60" t="s">
        <v>114</v>
      </c>
      <c r="S47" s="24">
        <v>45373</v>
      </c>
      <c r="T47" s="25" t="s">
        <v>83</v>
      </c>
      <c r="U47" s="25" t="s">
        <v>83</v>
      </c>
      <c r="V47" s="25" t="s">
        <v>163</v>
      </c>
      <c r="W47" s="52" t="s">
        <v>164</v>
      </c>
      <c r="X47" s="52" t="s">
        <v>83</v>
      </c>
      <c r="Y47" s="53">
        <v>0</v>
      </c>
      <c r="Z47" s="53">
        <v>245.42</v>
      </c>
      <c r="AA47" s="5">
        <v>0</v>
      </c>
    </row>
    <row r="48" spans="12:27" x14ac:dyDescent="0.25">
      <c r="L48" s="28"/>
      <c r="M48" s="28"/>
      <c r="N48" s="67">
        <v>45392</v>
      </c>
      <c r="O48" s="23" t="s">
        <v>111</v>
      </c>
      <c r="P48" s="25" t="s">
        <v>165</v>
      </c>
      <c r="Q48" s="25" t="s">
        <v>113</v>
      </c>
      <c r="R48" s="60" t="s">
        <v>114</v>
      </c>
      <c r="S48" s="24">
        <v>45392</v>
      </c>
      <c r="T48" s="25" t="s">
        <v>83</v>
      </c>
      <c r="U48" s="25" t="s">
        <v>83</v>
      </c>
      <c r="V48" s="25" t="s">
        <v>166</v>
      </c>
      <c r="W48" s="52" t="s">
        <v>167</v>
      </c>
      <c r="X48" s="52" t="s">
        <v>83</v>
      </c>
      <c r="Y48" s="53">
        <v>0</v>
      </c>
      <c r="Z48" s="53">
        <v>300.87</v>
      </c>
      <c r="AA48" s="5">
        <v>0</v>
      </c>
    </row>
    <row r="49" spans="12:27" x14ac:dyDescent="0.25">
      <c r="L49" s="28"/>
      <c r="M49" s="28"/>
      <c r="N49" s="68"/>
      <c r="O49" s="29"/>
      <c r="P49" s="25" t="s">
        <v>168</v>
      </c>
      <c r="Q49" s="25" t="s">
        <v>113</v>
      </c>
      <c r="R49" s="60" t="s">
        <v>114</v>
      </c>
      <c r="S49" s="24">
        <v>45392</v>
      </c>
      <c r="T49" s="25" t="s">
        <v>83</v>
      </c>
      <c r="U49" s="25" t="s">
        <v>83</v>
      </c>
      <c r="V49" s="25" t="s">
        <v>166</v>
      </c>
      <c r="W49" s="52" t="s">
        <v>169</v>
      </c>
      <c r="X49" s="52" t="s">
        <v>83</v>
      </c>
      <c r="Y49" s="53">
        <v>0</v>
      </c>
      <c r="Z49" s="53">
        <v>1344.99</v>
      </c>
      <c r="AA49" s="5">
        <v>0</v>
      </c>
    </row>
    <row r="50" spans="12:27" x14ac:dyDescent="0.25">
      <c r="L50" s="28"/>
      <c r="M50" s="28"/>
      <c r="N50" s="67">
        <v>45412</v>
      </c>
      <c r="O50" s="23" t="s">
        <v>111</v>
      </c>
      <c r="P50" s="23" t="s">
        <v>170</v>
      </c>
      <c r="Q50" s="23" t="s">
        <v>113</v>
      </c>
      <c r="R50" s="61" t="s">
        <v>114</v>
      </c>
      <c r="S50" s="58">
        <v>45412</v>
      </c>
      <c r="T50" s="23" t="s">
        <v>83</v>
      </c>
      <c r="U50" s="23" t="s">
        <v>83</v>
      </c>
      <c r="V50" s="25" t="s">
        <v>143</v>
      </c>
      <c r="W50" s="52" t="s">
        <v>171</v>
      </c>
      <c r="X50" s="52" t="s">
        <v>83</v>
      </c>
      <c r="Y50" s="53">
        <v>0</v>
      </c>
      <c r="Z50" s="53">
        <v>34.9</v>
      </c>
      <c r="AA50" s="5">
        <v>0</v>
      </c>
    </row>
    <row r="51" spans="12:27" x14ac:dyDescent="0.25">
      <c r="L51" s="28"/>
      <c r="M51" s="28"/>
      <c r="N51" s="69"/>
      <c r="O51" s="28"/>
      <c r="P51" s="29"/>
      <c r="Q51" s="29"/>
      <c r="R51" s="63"/>
      <c r="S51" s="59"/>
      <c r="T51" s="29"/>
      <c r="U51" s="29"/>
      <c r="V51" s="25" t="s">
        <v>172</v>
      </c>
      <c r="W51" s="52" t="s">
        <v>171</v>
      </c>
      <c r="X51" s="52" t="s">
        <v>83</v>
      </c>
      <c r="Y51" s="53">
        <v>0</v>
      </c>
      <c r="Z51" s="53">
        <v>1.95</v>
      </c>
      <c r="AA51" s="5">
        <v>0</v>
      </c>
    </row>
    <row r="52" spans="12:27" x14ac:dyDescent="0.25">
      <c r="L52" s="28"/>
      <c r="M52" s="28"/>
      <c r="N52" s="68"/>
      <c r="O52" s="29"/>
      <c r="P52" s="25" t="s">
        <v>173</v>
      </c>
      <c r="Q52" s="25" t="s">
        <v>113</v>
      </c>
      <c r="R52" s="60" t="s">
        <v>114</v>
      </c>
      <c r="S52" s="24">
        <v>45412</v>
      </c>
      <c r="T52" s="25" t="s">
        <v>83</v>
      </c>
      <c r="U52" s="25" t="s">
        <v>83</v>
      </c>
      <c r="V52" s="25" t="s">
        <v>143</v>
      </c>
      <c r="W52" s="52" t="s">
        <v>174</v>
      </c>
      <c r="X52" s="52" t="s">
        <v>83</v>
      </c>
      <c r="Y52" s="53">
        <v>0</v>
      </c>
      <c r="Z52" s="53">
        <v>243.38</v>
      </c>
      <c r="AA52" s="5">
        <v>0</v>
      </c>
    </row>
    <row r="53" spans="12:27" x14ac:dyDescent="0.25">
      <c r="L53" s="28"/>
      <c r="M53" s="28"/>
      <c r="N53" s="24">
        <v>45425</v>
      </c>
      <c r="O53" s="25" t="s">
        <v>111</v>
      </c>
      <c r="P53" s="25" t="s">
        <v>175</v>
      </c>
      <c r="Q53" s="25" t="s">
        <v>113</v>
      </c>
      <c r="R53" s="60" t="s">
        <v>114</v>
      </c>
      <c r="S53" s="24">
        <v>45425</v>
      </c>
      <c r="T53" s="25" t="s">
        <v>83</v>
      </c>
      <c r="U53" s="25" t="s">
        <v>83</v>
      </c>
      <c r="V53" s="25" t="s">
        <v>176</v>
      </c>
      <c r="W53" s="52" t="s">
        <v>177</v>
      </c>
      <c r="X53" s="52" t="s">
        <v>83</v>
      </c>
      <c r="Y53" s="53">
        <v>0</v>
      </c>
      <c r="Z53" s="53">
        <v>1887.9</v>
      </c>
      <c r="AA53" s="5">
        <v>0</v>
      </c>
    </row>
    <row r="54" spans="12:27" x14ac:dyDescent="0.25">
      <c r="L54" s="28"/>
      <c r="M54" s="28"/>
      <c r="N54" s="67">
        <v>45427</v>
      </c>
      <c r="O54" s="25" t="s">
        <v>111</v>
      </c>
      <c r="P54" s="25" t="s">
        <v>178</v>
      </c>
      <c r="Q54" s="25" t="s">
        <v>113</v>
      </c>
      <c r="R54" s="60" t="s">
        <v>114</v>
      </c>
      <c r="S54" s="24">
        <v>45427</v>
      </c>
      <c r="T54" s="25" t="s">
        <v>83</v>
      </c>
      <c r="U54" s="25" t="s">
        <v>83</v>
      </c>
      <c r="V54" s="25" t="s">
        <v>179</v>
      </c>
      <c r="W54" s="52" t="s">
        <v>180</v>
      </c>
      <c r="X54" s="52" t="s">
        <v>83</v>
      </c>
      <c r="Y54" s="53">
        <v>0</v>
      </c>
      <c r="Z54" s="53">
        <v>134.85</v>
      </c>
      <c r="AA54" s="5">
        <v>0</v>
      </c>
    </row>
    <row r="55" spans="12:27" x14ac:dyDescent="0.25">
      <c r="L55" s="28"/>
      <c r="M55" s="28"/>
      <c r="N55" s="68"/>
      <c r="O55" s="25" t="s">
        <v>154</v>
      </c>
      <c r="P55" s="25" t="s">
        <v>181</v>
      </c>
      <c r="Q55" s="25" t="s">
        <v>113</v>
      </c>
      <c r="R55" s="60" t="s">
        <v>114</v>
      </c>
      <c r="S55" s="24">
        <v>45427</v>
      </c>
      <c r="T55" s="25" t="s">
        <v>182</v>
      </c>
      <c r="U55" s="25" t="s">
        <v>83</v>
      </c>
      <c r="V55" s="25" t="s">
        <v>183</v>
      </c>
      <c r="W55" s="52" t="s">
        <v>184</v>
      </c>
      <c r="X55" s="52" t="s">
        <v>183</v>
      </c>
      <c r="Y55" s="53">
        <v>0</v>
      </c>
      <c r="Z55" s="53">
        <v>0</v>
      </c>
      <c r="AA55" s="5">
        <v>3590</v>
      </c>
    </row>
    <row r="56" spans="12:27" x14ac:dyDescent="0.25">
      <c r="L56" s="28"/>
      <c r="M56" s="28"/>
      <c r="N56" s="24">
        <v>45436</v>
      </c>
      <c r="O56" s="25" t="s">
        <v>111</v>
      </c>
      <c r="P56" s="25" t="s">
        <v>185</v>
      </c>
      <c r="Q56" s="25" t="s">
        <v>113</v>
      </c>
      <c r="R56" s="60" t="s">
        <v>114</v>
      </c>
      <c r="S56" s="24">
        <v>45436</v>
      </c>
      <c r="T56" s="25" t="s">
        <v>83</v>
      </c>
      <c r="U56" s="25" t="s">
        <v>83</v>
      </c>
      <c r="V56" s="25" t="s">
        <v>186</v>
      </c>
      <c r="W56" s="52" t="s">
        <v>187</v>
      </c>
      <c r="X56" s="52" t="s">
        <v>83</v>
      </c>
      <c r="Y56" s="53">
        <v>0</v>
      </c>
      <c r="Z56" s="53">
        <v>303.44</v>
      </c>
      <c r="AA56" s="5">
        <v>0</v>
      </c>
    </row>
    <row r="57" spans="12:27" x14ac:dyDescent="0.25">
      <c r="L57" s="28"/>
      <c r="M57" s="28"/>
      <c r="N57" s="24">
        <v>45462</v>
      </c>
      <c r="O57" s="25" t="s">
        <v>159</v>
      </c>
      <c r="P57" s="25" t="s">
        <v>188</v>
      </c>
      <c r="Q57" s="25" t="s">
        <v>113</v>
      </c>
      <c r="R57" s="60" t="s">
        <v>114</v>
      </c>
      <c r="S57" s="24">
        <v>45463</v>
      </c>
      <c r="T57" s="25" t="s">
        <v>182</v>
      </c>
      <c r="U57" s="25" t="s">
        <v>83</v>
      </c>
      <c r="V57" s="25" t="s">
        <v>183</v>
      </c>
      <c r="W57" s="52" t="s">
        <v>189</v>
      </c>
      <c r="X57" s="52" t="s">
        <v>183</v>
      </c>
      <c r="Y57" s="53">
        <v>0</v>
      </c>
      <c r="Z57" s="53">
        <v>3622.56</v>
      </c>
      <c r="AA57" s="5">
        <v>-3590</v>
      </c>
    </row>
    <row r="58" spans="12:27" x14ac:dyDescent="0.25">
      <c r="L58" s="29"/>
      <c r="M58" s="29"/>
      <c r="N58" s="24">
        <v>45466</v>
      </c>
      <c r="O58" s="25" t="s">
        <v>111</v>
      </c>
      <c r="P58" s="25" t="s">
        <v>190</v>
      </c>
      <c r="Q58" s="25" t="s">
        <v>113</v>
      </c>
      <c r="R58" s="60" t="s">
        <v>114</v>
      </c>
      <c r="S58" s="24">
        <v>45467</v>
      </c>
      <c r="T58" s="25" t="s">
        <v>83</v>
      </c>
      <c r="U58" s="25" t="s">
        <v>83</v>
      </c>
      <c r="V58" s="25" t="s">
        <v>191</v>
      </c>
      <c r="W58" s="52" t="s">
        <v>192</v>
      </c>
      <c r="X58" s="52" t="s">
        <v>83</v>
      </c>
      <c r="Y58" s="53">
        <v>0</v>
      </c>
      <c r="Z58" s="53">
        <v>3300</v>
      </c>
      <c r="AA58" s="5">
        <v>0</v>
      </c>
    </row>
    <row r="59" spans="12:27" x14ac:dyDescent="0.25">
      <c r="L59" s="54" t="s">
        <v>193</v>
      </c>
      <c r="M59" s="55"/>
      <c r="N59" s="66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6">
        <v>0</v>
      </c>
      <c r="Z59" s="56">
        <v>11720.26</v>
      </c>
      <c r="AA59" s="57">
        <v>0</v>
      </c>
    </row>
    <row r="60" spans="12:27" x14ac:dyDescent="0.25">
      <c r="L60" s="23" t="s">
        <v>39</v>
      </c>
      <c r="M60" s="23" t="s">
        <v>40</v>
      </c>
      <c r="N60" s="67">
        <v>45342</v>
      </c>
      <c r="O60" s="23" t="s">
        <v>111</v>
      </c>
      <c r="P60" s="25" t="s">
        <v>194</v>
      </c>
      <c r="Q60" s="25" t="s">
        <v>113</v>
      </c>
      <c r="R60" s="60" t="s">
        <v>114</v>
      </c>
      <c r="S60" s="24">
        <v>45342</v>
      </c>
      <c r="T60" s="25" t="s">
        <v>83</v>
      </c>
      <c r="U60" s="25" t="s">
        <v>83</v>
      </c>
      <c r="V60" s="25" t="s">
        <v>195</v>
      </c>
      <c r="W60" s="52" t="s">
        <v>196</v>
      </c>
      <c r="X60" s="52" t="s">
        <v>83</v>
      </c>
      <c r="Y60" s="53">
        <v>0</v>
      </c>
      <c r="Z60" s="53">
        <v>1430.94</v>
      </c>
      <c r="AA60" s="5">
        <v>0</v>
      </c>
    </row>
    <row r="61" spans="12:27" x14ac:dyDescent="0.25">
      <c r="L61" s="28"/>
      <c r="M61" s="28"/>
      <c r="N61" s="69"/>
      <c r="O61" s="28"/>
      <c r="P61" s="25" t="s">
        <v>197</v>
      </c>
      <c r="Q61" s="25" t="s">
        <v>113</v>
      </c>
      <c r="R61" s="60" t="s">
        <v>114</v>
      </c>
      <c r="S61" s="24">
        <v>45342</v>
      </c>
      <c r="T61" s="25" t="s">
        <v>83</v>
      </c>
      <c r="U61" s="25" t="s">
        <v>83</v>
      </c>
      <c r="V61" s="25" t="s">
        <v>198</v>
      </c>
      <c r="W61" s="52" t="s">
        <v>199</v>
      </c>
      <c r="X61" s="52" t="s">
        <v>83</v>
      </c>
      <c r="Y61" s="53">
        <v>0</v>
      </c>
      <c r="Z61" s="53">
        <v>208.68</v>
      </c>
      <c r="AA61" s="5">
        <v>0</v>
      </c>
    </row>
    <row r="62" spans="12:27" x14ac:dyDescent="0.25">
      <c r="L62" s="28"/>
      <c r="M62" s="28"/>
      <c r="N62" s="69"/>
      <c r="O62" s="28"/>
      <c r="P62" s="25" t="s">
        <v>200</v>
      </c>
      <c r="Q62" s="25" t="s">
        <v>113</v>
      </c>
      <c r="R62" s="60" t="s">
        <v>114</v>
      </c>
      <c r="S62" s="24">
        <v>45342</v>
      </c>
      <c r="T62" s="25" t="s">
        <v>83</v>
      </c>
      <c r="U62" s="25" t="s">
        <v>83</v>
      </c>
      <c r="V62" s="25" t="s">
        <v>201</v>
      </c>
      <c r="W62" s="52" t="s">
        <v>202</v>
      </c>
      <c r="X62" s="52" t="s">
        <v>83</v>
      </c>
      <c r="Y62" s="53">
        <v>0</v>
      </c>
      <c r="Z62" s="53">
        <v>1432.4</v>
      </c>
      <c r="AA62" s="5">
        <v>0</v>
      </c>
    </row>
    <row r="63" spans="12:27" x14ac:dyDescent="0.25">
      <c r="L63" s="28"/>
      <c r="M63" s="28"/>
      <c r="N63" s="69"/>
      <c r="O63" s="28"/>
      <c r="P63" s="25" t="s">
        <v>203</v>
      </c>
      <c r="Q63" s="25" t="s">
        <v>113</v>
      </c>
      <c r="R63" s="60" t="s">
        <v>114</v>
      </c>
      <c r="S63" s="24">
        <v>45342</v>
      </c>
      <c r="T63" s="25" t="s">
        <v>83</v>
      </c>
      <c r="U63" s="25" t="s">
        <v>83</v>
      </c>
      <c r="V63" s="25" t="s">
        <v>204</v>
      </c>
      <c r="W63" s="52" t="s">
        <v>205</v>
      </c>
      <c r="X63" s="52" t="s">
        <v>83</v>
      </c>
      <c r="Y63" s="53">
        <v>0</v>
      </c>
      <c r="Z63" s="53">
        <v>958.74</v>
      </c>
      <c r="AA63" s="5">
        <v>0</v>
      </c>
    </row>
    <row r="64" spans="12:27" x14ac:dyDescent="0.25">
      <c r="L64" s="28"/>
      <c r="M64" s="28"/>
      <c r="N64" s="69"/>
      <c r="O64" s="28"/>
      <c r="P64" s="25" t="s">
        <v>206</v>
      </c>
      <c r="Q64" s="25" t="s">
        <v>113</v>
      </c>
      <c r="R64" s="60" t="s">
        <v>114</v>
      </c>
      <c r="S64" s="24">
        <v>45342</v>
      </c>
      <c r="T64" s="25" t="s">
        <v>83</v>
      </c>
      <c r="U64" s="25" t="s">
        <v>83</v>
      </c>
      <c r="V64" s="25" t="s">
        <v>207</v>
      </c>
      <c r="W64" s="52" t="s">
        <v>208</v>
      </c>
      <c r="X64" s="52" t="s">
        <v>83</v>
      </c>
      <c r="Y64" s="53">
        <v>0</v>
      </c>
      <c r="Z64" s="53">
        <v>24.78</v>
      </c>
      <c r="AA64" s="5">
        <v>0</v>
      </c>
    </row>
    <row r="65" spans="12:27" x14ac:dyDescent="0.25">
      <c r="L65" s="28"/>
      <c r="M65" s="28"/>
      <c r="N65" s="69"/>
      <c r="O65" s="28"/>
      <c r="P65" s="25" t="s">
        <v>209</v>
      </c>
      <c r="Q65" s="25" t="s">
        <v>113</v>
      </c>
      <c r="R65" s="60" t="s">
        <v>114</v>
      </c>
      <c r="S65" s="24">
        <v>45342</v>
      </c>
      <c r="T65" s="25" t="s">
        <v>83</v>
      </c>
      <c r="U65" s="25" t="s">
        <v>83</v>
      </c>
      <c r="V65" s="25" t="s">
        <v>210</v>
      </c>
      <c r="W65" s="52" t="s">
        <v>211</v>
      </c>
      <c r="X65" s="52" t="s">
        <v>83</v>
      </c>
      <c r="Y65" s="53">
        <v>0</v>
      </c>
      <c r="Z65" s="53">
        <v>3759.7</v>
      </c>
      <c r="AA65" s="5">
        <v>0</v>
      </c>
    </row>
    <row r="66" spans="12:27" x14ac:dyDescent="0.25">
      <c r="L66" s="28"/>
      <c r="M66" s="28"/>
      <c r="N66" s="68"/>
      <c r="O66" s="29"/>
      <c r="P66" s="25" t="s">
        <v>122</v>
      </c>
      <c r="Q66" s="25" t="s">
        <v>113</v>
      </c>
      <c r="R66" s="60" t="s">
        <v>114</v>
      </c>
      <c r="S66" s="24">
        <v>45342</v>
      </c>
      <c r="T66" s="25" t="s">
        <v>83</v>
      </c>
      <c r="U66" s="25" t="s">
        <v>83</v>
      </c>
      <c r="V66" s="25" t="s">
        <v>210</v>
      </c>
      <c r="W66" s="52" t="s">
        <v>124</v>
      </c>
      <c r="X66" s="52" t="s">
        <v>83</v>
      </c>
      <c r="Y66" s="53">
        <v>0</v>
      </c>
      <c r="Z66" s="53">
        <v>537.91999999999996</v>
      </c>
      <c r="AA66" s="5">
        <v>0</v>
      </c>
    </row>
    <row r="67" spans="12:27" x14ac:dyDescent="0.25">
      <c r="L67" s="28"/>
      <c r="M67" s="28"/>
      <c r="N67" s="67">
        <v>45344</v>
      </c>
      <c r="O67" s="23" t="s">
        <v>111</v>
      </c>
      <c r="P67" s="25" t="s">
        <v>212</v>
      </c>
      <c r="Q67" s="25" t="s">
        <v>113</v>
      </c>
      <c r="R67" s="60" t="s">
        <v>114</v>
      </c>
      <c r="S67" s="24">
        <v>45344</v>
      </c>
      <c r="T67" s="25" t="s">
        <v>83</v>
      </c>
      <c r="U67" s="25" t="s">
        <v>83</v>
      </c>
      <c r="V67" s="25" t="s">
        <v>213</v>
      </c>
      <c r="W67" s="52" t="s">
        <v>214</v>
      </c>
      <c r="X67" s="52" t="s">
        <v>83</v>
      </c>
      <c r="Y67" s="53">
        <v>0</v>
      </c>
      <c r="Z67" s="53">
        <v>476.98</v>
      </c>
      <c r="AA67" s="5">
        <v>0</v>
      </c>
    </row>
    <row r="68" spans="12:27" x14ac:dyDescent="0.25">
      <c r="L68" s="28"/>
      <c r="M68" s="28"/>
      <c r="N68" s="69"/>
      <c r="O68" s="28"/>
      <c r="P68" s="25" t="s">
        <v>215</v>
      </c>
      <c r="Q68" s="25" t="s">
        <v>113</v>
      </c>
      <c r="R68" s="60" t="s">
        <v>114</v>
      </c>
      <c r="S68" s="24">
        <v>45344</v>
      </c>
      <c r="T68" s="25" t="s">
        <v>83</v>
      </c>
      <c r="U68" s="25" t="s">
        <v>83</v>
      </c>
      <c r="V68" s="25" t="s">
        <v>216</v>
      </c>
      <c r="W68" s="52" t="s">
        <v>217</v>
      </c>
      <c r="X68" s="52" t="s">
        <v>83</v>
      </c>
      <c r="Y68" s="53">
        <v>0</v>
      </c>
      <c r="Z68" s="53">
        <v>1597.9</v>
      </c>
      <c r="AA68" s="5">
        <v>0</v>
      </c>
    </row>
    <row r="69" spans="12:27" x14ac:dyDescent="0.25">
      <c r="L69" s="28"/>
      <c r="M69" s="28"/>
      <c r="N69" s="68"/>
      <c r="O69" s="29"/>
      <c r="P69" s="25" t="s">
        <v>218</v>
      </c>
      <c r="Q69" s="25" t="s">
        <v>113</v>
      </c>
      <c r="R69" s="60" t="s">
        <v>114</v>
      </c>
      <c r="S69" s="24">
        <v>45344</v>
      </c>
      <c r="T69" s="25" t="s">
        <v>83</v>
      </c>
      <c r="U69" s="25" t="s">
        <v>83</v>
      </c>
      <c r="V69" s="25" t="s">
        <v>219</v>
      </c>
      <c r="W69" s="52" t="s">
        <v>220</v>
      </c>
      <c r="X69" s="52" t="s">
        <v>83</v>
      </c>
      <c r="Y69" s="53">
        <v>0</v>
      </c>
      <c r="Z69" s="53">
        <v>125.18</v>
      </c>
      <c r="AA69" s="5">
        <v>0</v>
      </c>
    </row>
    <row r="70" spans="12:27" x14ac:dyDescent="0.25">
      <c r="L70" s="28"/>
      <c r="M70" s="28"/>
      <c r="N70" s="67">
        <v>45350</v>
      </c>
      <c r="O70" s="23" t="s">
        <v>111</v>
      </c>
      <c r="P70" s="25" t="s">
        <v>221</v>
      </c>
      <c r="Q70" s="25" t="s">
        <v>113</v>
      </c>
      <c r="R70" s="60" t="s">
        <v>114</v>
      </c>
      <c r="S70" s="24">
        <v>45350</v>
      </c>
      <c r="T70" s="25" t="s">
        <v>83</v>
      </c>
      <c r="U70" s="25" t="s">
        <v>83</v>
      </c>
      <c r="V70" s="25" t="s">
        <v>222</v>
      </c>
      <c r="W70" s="52" t="s">
        <v>223</v>
      </c>
      <c r="X70" s="52" t="s">
        <v>83</v>
      </c>
      <c r="Y70" s="53">
        <v>0</v>
      </c>
      <c r="Z70" s="53">
        <v>576.04999999999995</v>
      </c>
      <c r="AA70" s="5">
        <v>0</v>
      </c>
    </row>
    <row r="71" spans="12:27" x14ac:dyDescent="0.25">
      <c r="L71" s="29"/>
      <c r="M71" s="29"/>
      <c r="N71" s="68"/>
      <c r="O71" s="29"/>
      <c r="P71" s="25" t="s">
        <v>224</v>
      </c>
      <c r="Q71" s="25" t="s">
        <v>113</v>
      </c>
      <c r="R71" s="60" t="s">
        <v>114</v>
      </c>
      <c r="S71" s="24">
        <v>45350</v>
      </c>
      <c r="T71" s="25" t="s">
        <v>83</v>
      </c>
      <c r="U71" s="25" t="s">
        <v>83</v>
      </c>
      <c r="V71" s="25" t="s">
        <v>225</v>
      </c>
      <c r="W71" s="52" t="s">
        <v>226</v>
      </c>
      <c r="X71" s="52" t="s">
        <v>83</v>
      </c>
      <c r="Y71" s="53">
        <v>0</v>
      </c>
      <c r="Z71" s="53">
        <v>576.04</v>
      </c>
      <c r="AA71" s="5">
        <v>0</v>
      </c>
    </row>
    <row r="72" spans="12:27" x14ac:dyDescent="0.25">
      <c r="L72" s="54" t="s">
        <v>227</v>
      </c>
      <c r="M72" s="55"/>
      <c r="N72" s="66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6">
        <v>0</v>
      </c>
      <c r="Z72" s="56">
        <v>11705.31</v>
      </c>
      <c r="AA72" s="57">
        <v>0</v>
      </c>
    </row>
    <row r="73" spans="12:27" x14ac:dyDescent="0.25">
      <c r="L73" s="23" t="s">
        <v>41</v>
      </c>
      <c r="M73" s="23" t="s">
        <v>42</v>
      </c>
      <c r="N73" s="24">
        <v>45421</v>
      </c>
      <c r="O73" s="25" t="s">
        <v>228</v>
      </c>
      <c r="P73" s="25" t="s">
        <v>229</v>
      </c>
      <c r="Q73" s="25" t="s">
        <v>113</v>
      </c>
      <c r="R73" s="60" t="s">
        <v>114</v>
      </c>
      <c r="S73" s="24">
        <v>45421</v>
      </c>
      <c r="T73" s="25" t="s">
        <v>83</v>
      </c>
      <c r="U73" s="25" t="s">
        <v>230</v>
      </c>
      <c r="V73" s="25" t="s">
        <v>231</v>
      </c>
      <c r="W73" s="52" t="s">
        <v>232</v>
      </c>
      <c r="X73" s="52" t="s">
        <v>83</v>
      </c>
      <c r="Y73" s="53">
        <v>0</v>
      </c>
      <c r="Z73" s="53">
        <v>350</v>
      </c>
      <c r="AA73" s="5">
        <v>0</v>
      </c>
    </row>
    <row r="74" spans="12:27" x14ac:dyDescent="0.25">
      <c r="L74" s="29"/>
      <c r="M74" s="29"/>
      <c r="N74" s="24">
        <v>45425</v>
      </c>
      <c r="O74" s="25" t="s">
        <v>111</v>
      </c>
      <c r="P74" s="25" t="s">
        <v>233</v>
      </c>
      <c r="Q74" s="25" t="s">
        <v>113</v>
      </c>
      <c r="R74" s="60" t="s">
        <v>114</v>
      </c>
      <c r="S74" s="24">
        <v>45425</v>
      </c>
      <c r="T74" s="25" t="s">
        <v>83</v>
      </c>
      <c r="U74" s="25" t="s">
        <v>83</v>
      </c>
      <c r="V74" s="25" t="s">
        <v>234</v>
      </c>
      <c r="W74" s="52" t="s">
        <v>235</v>
      </c>
      <c r="X74" s="52" t="s">
        <v>83</v>
      </c>
      <c r="Y74" s="53">
        <v>0</v>
      </c>
      <c r="Z74" s="53">
        <v>1050</v>
      </c>
      <c r="AA74" s="5">
        <v>0</v>
      </c>
    </row>
    <row r="75" spans="12:27" x14ac:dyDescent="0.25">
      <c r="L75" s="54" t="s">
        <v>236</v>
      </c>
      <c r="M75" s="55"/>
      <c r="N75" s="66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6">
        <v>0</v>
      </c>
      <c r="Z75" s="56">
        <v>1400</v>
      </c>
      <c r="AA75" s="57">
        <v>0</v>
      </c>
    </row>
    <row r="76" spans="12:27" x14ac:dyDescent="0.25">
      <c r="L76" s="25" t="s">
        <v>43</v>
      </c>
      <c r="M76" s="25" t="s">
        <v>44</v>
      </c>
      <c r="N76" s="24">
        <v>45373</v>
      </c>
      <c r="O76" s="25" t="s">
        <v>111</v>
      </c>
      <c r="P76" s="25" t="s">
        <v>237</v>
      </c>
      <c r="Q76" s="25" t="s">
        <v>113</v>
      </c>
      <c r="R76" s="60" t="s">
        <v>114</v>
      </c>
      <c r="S76" s="24">
        <v>45373</v>
      </c>
      <c r="T76" s="25" t="s">
        <v>83</v>
      </c>
      <c r="U76" s="25" t="s">
        <v>83</v>
      </c>
      <c r="V76" s="25" t="s">
        <v>238</v>
      </c>
      <c r="W76" s="52" t="s">
        <v>239</v>
      </c>
      <c r="X76" s="52" t="s">
        <v>83</v>
      </c>
      <c r="Y76" s="53">
        <v>0</v>
      </c>
      <c r="Z76" s="53">
        <v>54.75</v>
      </c>
      <c r="AA76" s="5">
        <v>0</v>
      </c>
    </row>
    <row r="77" spans="12:27" x14ac:dyDescent="0.25">
      <c r="L77" s="54" t="s">
        <v>240</v>
      </c>
      <c r="M77" s="55"/>
      <c r="N77" s="66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6">
        <v>0</v>
      </c>
      <c r="Z77" s="56">
        <v>54.75</v>
      </c>
      <c r="AA77" s="57">
        <v>0</v>
      </c>
    </row>
    <row r="78" spans="12:27" x14ac:dyDescent="0.25">
      <c r="L78" s="23" t="s">
        <v>45</v>
      </c>
      <c r="M78" s="23" t="s">
        <v>46</v>
      </c>
      <c r="N78" s="24">
        <v>45328</v>
      </c>
      <c r="O78" s="25" t="s">
        <v>154</v>
      </c>
      <c r="P78" s="25" t="s">
        <v>241</v>
      </c>
      <c r="Q78" s="25" t="s">
        <v>113</v>
      </c>
      <c r="R78" s="60" t="s">
        <v>114</v>
      </c>
      <c r="S78" s="24">
        <v>45328</v>
      </c>
      <c r="T78" s="25" t="s">
        <v>242</v>
      </c>
      <c r="U78" s="25" t="s">
        <v>83</v>
      </c>
      <c r="V78" s="25" t="s">
        <v>243</v>
      </c>
      <c r="W78" s="52" t="s">
        <v>244</v>
      </c>
      <c r="X78" s="52" t="s">
        <v>243</v>
      </c>
      <c r="Y78" s="53">
        <v>0</v>
      </c>
      <c r="Z78" s="53">
        <v>0</v>
      </c>
      <c r="AA78" s="5">
        <v>92.3</v>
      </c>
    </row>
    <row r="79" spans="12:27" x14ac:dyDescent="0.25">
      <c r="L79" s="28"/>
      <c r="M79" s="28"/>
      <c r="N79" s="24">
        <v>45337</v>
      </c>
      <c r="O79" s="25" t="s">
        <v>159</v>
      </c>
      <c r="P79" s="25" t="s">
        <v>245</v>
      </c>
      <c r="Q79" s="25" t="s">
        <v>113</v>
      </c>
      <c r="R79" s="60" t="s">
        <v>114</v>
      </c>
      <c r="S79" s="24">
        <v>45337</v>
      </c>
      <c r="T79" s="25" t="s">
        <v>242</v>
      </c>
      <c r="U79" s="25" t="s">
        <v>83</v>
      </c>
      <c r="V79" s="25" t="s">
        <v>243</v>
      </c>
      <c r="W79" s="52" t="s">
        <v>246</v>
      </c>
      <c r="X79" s="52" t="s">
        <v>243</v>
      </c>
      <c r="Y79" s="53">
        <v>0</v>
      </c>
      <c r="Z79" s="53">
        <v>97.75</v>
      </c>
      <c r="AA79" s="5">
        <v>-92.3</v>
      </c>
    </row>
    <row r="80" spans="12:27" x14ac:dyDescent="0.25">
      <c r="L80" s="28"/>
      <c r="M80" s="28"/>
      <c r="N80" s="67">
        <v>45412</v>
      </c>
      <c r="O80" s="23" t="s">
        <v>111</v>
      </c>
      <c r="P80" s="25" t="s">
        <v>170</v>
      </c>
      <c r="Q80" s="25" t="s">
        <v>113</v>
      </c>
      <c r="R80" s="60" t="s">
        <v>114</v>
      </c>
      <c r="S80" s="24">
        <v>45412</v>
      </c>
      <c r="T80" s="25" t="s">
        <v>83</v>
      </c>
      <c r="U80" s="25" t="s">
        <v>83</v>
      </c>
      <c r="V80" s="25" t="s">
        <v>143</v>
      </c>
      <c r="W80" s="52" t="s">
        <v>171</v>
      </c>
      <c r="X80" s="52" t="s">
        <v>83</v>
      </c>
      <c r="Y80" s="53">
        <v>0</v>
      </c>
      <c r="Z80" s="53">
        <v>7.99</v>
      </c>
      <c r="AA80" s="5">
        <v>0</v>
      </c>
    </row>
    <row r="81" spans="12:27" x14ac:dyDescent="0.25">
      <c r="L81" s="28"/>
      <c r="M81" s="28"/>
      <c r="N81" s="69"/>
      <c r="O81" s="29"/>
      <c r="P81" s="25" t="s">
        <v>173</v>
      </c>
      <c r="Q81" s="25" t="s">
        <v>113</v>
      </c>
      <c r="R81" s="60" t="s">
        <v>114</v>
      </c>
      <c r="S81" s="24">
        <v>45412</v>
      </c>
      <c r="T81" s="25" t="s">
        <v>83</v>
      </c>
      <c r="U81" s="25" t="s">
        <v>83</v>
      </c>
      <c r="V81" s="25" t="s">
        <v>143</v>
      </c>
      <c r="W81" s="52" t="s">
        <v>174</v>
      </c>
      <c r="X81" s="52" t="s">
        <v>83</v>
      </c>
      <c r="Y81" s="53">
        <v>0</v>
      </c>
      <c r="Z81" s="53">
        <v>9.98</v>
      </c>
      <c r="AA81" s="5">
        <v>0</v>
      </c>
    </row>
    <row r="82" spans="12:27" x14ac:dyDescent="0.25">
      <c r="L82" s="28"/>
      <c r="M82" s="28"/>
      <c r="N82" s="68"/>
      <c r="O82" s="25" t="s">
        <v>154</v>
      </c>
      <c r="P82" s="25" t="s">
        <v>247</v>
      </c>
      <c r="Q82" s="25" t="s">
        <v>113</v>
      </c>
      <c r="R82" s="60" t="s">
        <v>114</v>
      </c>
      <c r="S82" s="24">
        <v>45412</v>
      </c>
      <c r="T82" s="25" t="s">
        <v>248</v>
      </c>
      <c r="U82" s="25" t="s">
        <v>83</v>
      </c>
      <c r="V82" s="25" t="s">
        <v>249</v>
      </c>
      <c r="W82" s="52" t="s">
        <v>250</v>
      </c>
      <c r="X82" s="52" t="s">
        <v>249</v>
      </c>
      <c r="Y82" s="53">
        <v>0</v>
      </c>
      <c r="Z82" s="53">
        <v>0</v>
      </c>
      <c r="AA82" s="5">
        <v>900</v>
      </c>
    </row>
    <row r="83" spans="12:27" x14ac:dyDescent="0.25">
      <c r="L83" s="28"/>
      <c r="M83" s="28"/>
      <c r="N83" s="24">
        <v>45425</v>
      </c>
      <c r="O83" s="25" t="s">
        <v>111</v>
      </c>
      <c r="P83" s="25" t="s">
        <v>175</v>
      </c>
      <c r="Q83" s="25" t="s">
        <v>113</v>
      </c>
      <c r="R83" s="60" t="s">
        <v>114</v>
      </c>
      <c r="S83" s="24">
        <v>45425</v>
      </c>
      <c r="T83" s="25" t="s">
        <v>83</v>
      </c>
      <c r="U83" s="25" t="s">
        <v>83</v>
      </c>
      <c r="V83" s="25" t="s">
        <v>251</v>
      </c>
      <c r="W83" s="52" t="s">
        <v>177</v>
      </c>
      <c r="X83" s="52" t="s">
        <v>83</v>
      </c>
      <c r="Y83" s="53">
        <v>0</v>
      </c>
      <c r="Z83" s="53">
        <v>16.27</v>
      </c>
      <c r="AA83" s="5">
        <v>0</v>
      </c>
    </row>
    <row r="84" spans="12:27" x14ac:dyDescent="0.25">
      <c r="L84" s="28"/>
      <c r="M84" s="28"/>
      <c r="N84" s="24">
        <v>45427</v>
      </c>
      <c r="O84" s="25" t="s">
        <v>111</v>
      </c>
      <c r="P84" s="25" t="s">
        <v>178</v>
      </c>
      <c r="Q84" s="25" t="s">
        <v>113</v>
      </c>
      <c r="R84" s="60" t="s">
        <v>114</v>
      </c>
      <c r="S84" s="24">
        <v>45427</v>
      </c>
      <c r="T84" s="25" t="s">
        <v>83</v>
      </c>
      <c r="U84" s="25" t="s">
        <v>83</v>
      </c>
      <c r="V84" s="25" t="s">
        <v>252</v>
      </c>
      <c r="W84" s="52" t="s">
        <v>180</v>
      </c>
      <c r="X84" s="52" t="s">
        <v>83</v>
      </c>
      <c r="Y84" s="53">
        <v>0</v>
      </c>
      <c r="Z84" s="53">
        <v>14.42</v>
      </c>
      <c r="AA84" s="5">
        <v>0</v>
      </c>
    </row>
    <row r="85" spans="12:27" x14ac:dyDescent="0.25">
      <c r="L85" s="29"/>
      <c r="M85" s="29"/>
      <c r="N85" s="24">
        <v>45457</v>
      </c>
      <c r="O85" s="25" t="s">
        <v>253</v>
      </c>
      <c r="P85" s="25" t="s">
        <v>254</v>
      </c>
      <c r="Q85" s="25" t="s">
        <v>113</v>
      </c>
      <c r="R85" s="60" t="s">
        <v>114</v>
      </c>
      <c r="S85" s="24">
        <v>45457</v>
      </c>
      <c r="T85" s="25" t="s">
        <v>248</v>
      </c>
      <c r="U85" s="25" t="s">
        <v>83</v>
      </c>
      <c r="V85" s="25" t="s">
        <v>249</v>
      </c>
      <c r="W85" s="52" t="s">
        <v>255</v>
      </c>
      <c r="X85" s="52" t="s">
        <v>249</v>
      </c>
      <c r="Y85" s="53">
        <v>0</v>
      </c>
      <c r="Z85" s="53">
        <v>900</v>
      </c>
      <c r="AA85" s="5">
        <v>-900</v>
      </c>
    </row>
    <row r="86" spans="12:27" x14ac:dyDescent="0.25">
      <c r="L86" s="54" t="s">
        <v>256</v>
      </c>
      <c r="M86" s="55"/>
      <c r="N86" s="66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6">
        <v>0</v>
      </c>
      <c r="Z86" s="56">
        <v>1046.4100000000001</v>
      </c>
      <c r="AA86" s="57">
        <v>4.2632564145605999E-14</v>
      </c>
    </row>
    <row r="87" spans="12:27" x14ac:dyDescent="0.25">
      <c r="L87" s="23" t="s">
        <v>47</v>
      </c>
      <c r="M87" s="23" t="s">
        <v>48</v>
      </c>
      <c r="N87" s="24">
        <v>45343</v>
      </c>
      <c r="O87" s="25" t="s">
        <v>228</v>
      </c>
      <c r="P87" s="25" t="s">
        <v>257</v>
      </c>
      <c r="Q87" s="25" t="s">
        <v>113</v>
      </c>
      <c r="R87" s="60" t="s">
        <v>114</v>
      </c>
      <c r="S87" s="24">
        <v>45343</v>
      </c>
      <c r="T87" s="25" t="s">
        <v>83</v>
      </c>
      <c r="U87" s="25" t="s">
        <v>83</v>
      </c>
      <c r="V87" s="25" t="s">
        <v>258</v>
      </c>
      <c r="W87" s="52" t="s">
        <v>259</v>
      </c>
      <c r="X87" s="52" t="s">
        <v>83</v>
      </c>
      <c r="Y87" s="53">
        <v>0</v>
      </c>
      <c r="Z87" s="53">
        <v>5540.43</v>
      </c>
      <c r="AA87" s="5">
        <v>0</v>
      </c>
    </row>
    <row r="88" spans="12:27" x14ac:dyDescent="0.25">
      <c r="L88" s="29"/>
      <c r="M88" s="29"/>
      <c r="N88" s="24">
        <v>45392</v>
      </c>
      <c r="O88" s="25" t="s">
        <v>111</v>
      </c>
      <c r="P88" s="25" t="s">
        <v>168</v>
      </c>
      <c r="Q88" s="25" t="s">
        <v>113</v>
      </c>
      <c r="R88" s="60" t="s">
        <v>114</v>
      </c>
      <c r="S88" s="24">
        <v>45392</v>
      </c>
      <c r="T88" s="25" t="s">
        <v>83</v>
      </c>
      <c r="U88" s="25" t="s">
        <v>83</v>
      </c>
      <c r="V88" s="25" t="s">
        <v>260</v>
      </c>
      <c r="W88" s="52" t="s">
        <v>169</v>
      </c>
      <c r="X88" s="52" t="s">
        <v>83</v>
      </c>
      <c r="Y88" s="53">
        <v>0</v>
      </c>
      <c r="Z88" s="53">
        <v>9.99</v>
      </c>
      <c r="AA88" s="5">
        <v>0</v>
      </c>
    </row>
    <row r="89" spans="12:27" x14ac:dyDescent="0.25">
      <c r="L89" s="54" t="s">
        <v>261</v>
      </c>
      <c r="M89" s="55"/>
      <c r="N89" s="66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6">
        <v>0</v>
      </c>
      <c r="Z89" s="56">
        <v>5550.42</v>
      </c>
      <c r="AA89" s="57">
        <v>0</v>
      </c>
    </row>
    <row r="90" spans="12:27" x14ac:dyDescent="0.25">
      <c r="L90" s="23" t="s">
        <v>49</v>
      </c>
      <c r="M90" s="23" t="s">
        <v>50</v>
      </c>
      <c r="N90" s="24">
        <v>45328</v>
      </c>
      <c r="O90" s="25" t="s">
        <v>154</v>
      </c>
      <c r="P90" s="25" t="s">
        <v>241</v>
      </c>
      <c r="Q90" s="25" t="s">
        <v>113</v>
      </c>
      <c r="R90" s="60" t="s">
        <v>114</v>
      </c>
      <c r="S90" s="24">
        <v>45328</v>
      </c>
      <c r="T90" s="25" t="s">
        <v>242</v>
      </c>
      <c r="U90" s="25" t="s">
        <v>83</v>
      </c>
      <c r="V90" s="25" t="s">
        <v>243</v>
      </c>
      <c r="W90" s="52" t="s">
        <v>244</v>
      </c>
      <c r="X90" s="52" t="s">
        <v>243</v>
      </c>
      <c r="Y90" s="53">
        <v>0</v>
      </c>
      <c r="Z90" s="53">
        <v>0</v>
      </c>
      <c r="AA90" s="5">
        <v>9510.33</v>
      </c>
    </row>
    <row r="91" spans="12:27" x14ac:dyDescent="0.25">
      <c r="L91" s="28"/>
      <c r="M91" s="28"/>
      <c r="N91" s="24">
        <v>45337</v>
      </c>
      <c r="O91" s="25" t="s">
        <v>159</v>
      </c>
      <c r="P91" s="25" t="s">
        <v>245</v>
      </c>
      <c r="Q91" s="25" t="s">
        <v>113</v>
      </c>
      <c r="R91" s="60" t="s">
        <v>114</v>
      </c>
      <c r="S91" s="24">
        <v>45337</v>
      </c>
      <c r="T91" s="25" t="s">
        <v>242</v>
      </c>
      <c r="U91" s="25" t="s">
        <v>83</v>
      </c>
      <c r="V91" s="25" t="s">
        <v>243</v>
      </c>
      <c r="W91" s="52" t="s">
        <v>246</v>
      </c>
      <c r="X91" s="52" t="s">
        <v>243</v>
      </c>
      <c r="Y91" s="53">
        <v>0</v>
      </c>
      <c r="Z91" s="53">
        <v>9362.42</v>
      </c>
      <c r="AA91" s="5">
        <v>-9141.7900000000009</v>
      </c>
    </row>
    <row r="92" spans="12:27" x14ac:dyDescent="0.25">
      <c r="L92" s="28"/>
      <c r="M92" s="28"/>
      <c r="N92" s="24">
        <v>45383</v>
      </c>
      <c r="O92" s="25" t="s">
        <v>154</v>
      </c>
      <c r="P92" s="25" t="s">
        <v>262</v>
      </c>
      <c r="Q92" s="25" t="s">
        <v>113</v>
      </c>
      <c r="R92" s="60" t="s">
        <v>114</v>
      </c>
      <c r="S92" s="24">
        <v>45383</v>
      </c>
      <c r="T92" s="25" t="s">
        <v>263</v>
      </c>
      <c r="U92" s="25" t="s">
        <v>83</v>
      </c>
      <c r="V92" s="25" t="s">
        <v>264</v>
      </c>
      <c r="W92" s="52" t="s">
        <v>265</v>
      </c>
      <c r="X92" s="52" t="s">
        <v>264</v>
      </c>
      <c r="Y92" s="53">
        <v>0</v>
      </c>
      <c r="Z92" s="53">
        <v>0</v>
      </c>
      <c r="AA92" s="5">
        <v>4272.16</v>
      </c>
    </row>
    <row r="93" spans="12:27" x14ac:dyDescent="0.25">
      <c r="L93" s="28"/>
      <c r="M93" s="28"/>
      <c r="N93" s="67">
        <v>45392</v>
      </c>
      <c r="O93" s="23" t="s">
        <v>111</v>
      </c>
      <c r="P93" s="25" t="s">
        <v>165</v>
      </c>
      <c r="Q93" s="25" t="s">
        <v>113</v>
      </c>
      <c r="R93" s="60" t="s">
        <v>114</v>
      </c>
      <c r="S93" s="24">
        <v>45392</v>
      </c>
      <c r="T93" s="25" t="s">
        <v>83</v>
      </c>
      <c r="U93" s="25" t="s">
        <v>83</v>
      </c>
      <c r="V93" s="25" t="s">
        <v>266</v>
      </c>
      <c r="W93" s="52" t="s">
        <v>167</v>
      </c>
      <c r="X93" s="52" t="s">
        <v>83</v>
      </c>
      <c r="Y93" s="53">
        <v>0</v>
      </c>
      <c r="Z93" s="53">
        <v>99.95</v>
      </c>
      <c r="AA93" s="5">
        <v>0</v>
      </c>
    </row>
    <row r="94" spans="12:27" x14ac:dyDescent="0.25">
      <c r="L94" s="28"/>
      <c r="M94" s="28"/>
      <c r="N94" s="68"/>
      <c r="O94" s="29"/>
      <c r="P94" s="25" t="s">
        <v>168</v>
      </c>
      <c r="Q94" s="25" t="s">
        <v>113</v>
      </c>
      <c r="R94" s="60" t="s">
        <v>114</v>
      </c>
      <c r="S94" s="24">
        <v>45392</v>
      </c>
      <c r="T94" s="25" t="s">
        <v>83</v>
      </c>
      <c r="U94" s="25" t="s">
        <v>83</v>
      </c>
      <c r="V94" s="25" t="s">
        <v>267</v>
      </c>
      <c r="W94" s="52" t="s">
        <v>169</v>
      </c>
      <c r="X94" s="52" t="s">
        <v>83</v>
      </c>
      <c r="Y94" s="53">
        <v>0</v>
      </c>
      <c r="Z94" s="53">
        <v>1218.08</v>
      </c>
      <c r="AA94" s="5">
        <v>0</v>
      </c>
    </row>
    <row r="95" spans="12:27" x14ac:dyDescent="0.25">
      <c r="L95" s="28"/>
      <c r="M95" s="28"/>
      <c r="N95" s="24">
        <v>45412</v>
      </c>
      <c r="O95" s="25" t="s">
        <v>154</v>
      </c>
      <c r="P95" s="25" t="s">
        <v>247</v>
      </c>
      <c r="Q95" s="25" t="s">
        <v>113</v>
      </c>
      <c r="R95" s="60" t="s">
        <v>114</v>
      </c>
      <c r="S95" s="24">
        <v>45412</v>
      </c>
      <c r="T95" s="25" t="s">
        <v>248</v>
      </c>
      <c r="U95" s="25" t="s">
        <v>83</v>
      </c>
      <c r="V95" s="25" t="s">
        <v>249</v>
      </c>
      <c r="W95" s="52" t="s">
        <v>250</v>
      </c>
      <c r="X95" s="52" t="s">
        <v>249</v>
      </c>
      <c r="Y95" s="53">
        <v>0</v>
      </c>
      <c r="Z95" s="53">
        <v>0</v>
      </c>
      <c r="AA95" s="5">
        <v>33895.49</v>
      </c>
    </row>
    <row r="96" spans="12:27" x14ac:dyDescent="0.25">
      <c r="L96" s="28"/>
      <c r="M96" s="28"/>
      <c r="N96" s="67">
        <v>45436</v>
      </c>
      <c r="O96" s="23" t="s">
        <v>253</v>
      </c>
      <c r="P96" s="25" t="s">
        <v>268</v>
      </c>
      <c r="Q96" s="25" t="s">
        <v>113</v>
      </c>
      <c r="R96" s="60" t="s">
        <v>114</v>
      </c>
      <c r="S96" s="24">
        <v>45436</v>
      </c>
      <c r="T96" s="25" t="s">
        <v>248</v>
      </c>
      <c r="U96" s="25" t="s">
        <v>83</v>
      </c>
      <c r="V96" s="25" t="s">
        <v>249</v>
      </c>
      <c r="W96" s="52" t="s">
        <v>269</v>
      </c>
      <c r="X96" s="52" t="s">
        <v>249</v>
      </c>
      <c r="Y96" s="53">
        <v>0</v>
      </c>
      <c r="Z96" s="53">
        <v>3284.08</v>
      </c>
      <c r="AA96" s="5">
        <v>-3284.08</v>
      </c>
    </row>
    <row r="97" spans="12:27" x14ac:dyDescent="0.25">
      <c r="L97" s="28"/>
      <c r="M97" s="28"/>
      <c r="N97" s="69"/>
      <c r="O97" s="28"/>
      <c r="P97" s="25" t="s">
        <v>270</v>
      </c>
      <c r="Q97" s="25" t="s">
        <v>113</v>
      </c>
      <c r="R97" s="60" t="s">
        <v>114</v>
      </c>
      <c r="S97" s="24">
        <v>45436</v>
      </c>
      <c r="T97" s="25" t="s">
        <v>248</v>
      </c>
      <c r="U97" s="25" t="s">
        <v>83</v>
      </c>
      <c r="V97" s="25" t="s">
        <v>249</v>
      </c>
      <c r="W97" s="52" t="s">
        <v>271</v>
      </c>
      <c r="X97" s="52" t="s">
        <v>249</v>
      </c>
      <c r="Y97" s="53">
        <v>0</v>
      </c>
      <c r="Z97" s="53">
        <v>11670.99</v>
      </c>
      <c r="AA97" s="5">
        <v>-11670.99</v>
      </c>
    </row>
    <row r="98" spans="12:27" x14ac:dyDescent="0.25">
      <c r="L98" s="28"/>
      <c r="M98" s="28"/>
      <c r="N98" s="68"/>
      <c r="O98" s="29"/>
      <c r="P98" s="25" t="s">
        <v>272</v>
      </c>
      <c r="Q98" s="25" t="s">
        <v>113</v>
      </c>
      <c r="R98" s="60" t="s">
        <v>114</v>
      </c>
      <c r="S98" s="24">
        <v>45436</v>
      </c>
      <c r="T98" s="25" t="s">
        <v>248</v>
      </c>
      <c r="U98" s="25" t="s">
        <v>83</v>
      </c>
      <c r="V98" s="25" t="s">
        <v>249</v>
      </c>
      <c r="W98" s="52" t="s">
        <v>273</v>
      </c>
      <c r="X98" s="52" t="s">
        <v>249</v>
      </c>
      <c r="Y98" s="53">
        <v>0</v>
      </c>
      <c r="Z98" s="53">
        <v>902.24</v>
      </c>
      <c r="AA98" s="5">
        <v>-902.24</v>
      </c>
    </row>
    <row r="99" spans="12:27" x14ac:dyDescent="0.25">
      <c r="L99" s="28"/>
      <c r="M99" s="28"/>
      <c r="N99" s="67">
        <v>45437</v>
      </c>
      <c r="O99" s="23" t="s">
        <v>253</v>
      </c>
      <c r="P99" s="25" t="s">
        <v>274</v>
      </c>
      <c r="Q99" s="25" t="s">
        <v>113</v>
      </c>
      <c r="R99" s="60" t="s">
        <v>114</v>
      </c>
      <c r="S99" s="24">
        <v>45440</v>
      </c>
      <c r="T99" s="25" t="s">
        <v>248</v>
      </c>
      <c r="U99" s="25" t="s">
        <v>83</v>
      </c>
      <c r="V99" s="25" t="s">
        <v>249</v>
      </c>
      <c r="W99" s="52" t="s">
        <v>275</v>
      </c>
      <c r="X99" s="52" t="s">
        <v>249</v>
      </c>
      <c r="Y99" s="53">
        <v>0</v>
      </c>
      <c r="Z99" s="53">
        <v>596.88</v>
      </c>
      <c r="AA99" s="5">
        <v>-596.88</v>
      </c>
    </row>
    <row r="100" spans="12:27" x14ac:dyDescent="0.25">
      <c r="L100" s="28"/>
      <c r="M100" s="28"/>
      <c r="N100" s="68"/>
      <c r="O100" s="29"/>
      <c r="P100" s="25" t="s">
        <v>276</v>
      </c>
      <c r="Q100" s="25" t="s">
        <v>113</v>
      </c>
      <c r="R100" s="60" t="s">
        <v>114</v>
      </c>
      <c r="S100" s="24">
        <v>45440</v>
      </c>
      <c r="T100" s="25" t="s">
        <v>248</v>
      </c>
      <c r="U100" s="25" t="s">
        <v>83</v>
      </c>
      <c r="V100" s="25" t="s">
        <v>249</v>
      </c>
      <c r="W100" s="52" t="s">
        <v>277</v>
      </c>
      <c r="X100" s="52" t="s">
        <v>249</v>
      </c>
      <c r="Y100" s="53">
        <v>0</v>
      </c>
      <c r="Z100" s="53">
        <v>2522.37</v>
      </c>
      <c r="AA100" s="5">
        <v>-2522.37</v>
      </c>
    </row>
    <row r="101" spans="12:27" x14ac:dyDescent="0.25">
      <c r="L101" s="28"/>
      <c r="M101" s="28"/>
      <c r="N101" s="24">
        <v>45441</v>
      </c>
      <c r="O101" s="25" t="s">
        <v>159</v>
      </c>
      <c r="P101" s="25" t="s">
        <v>278</v>
      </c>
      <c r="Q101" s="25" t="s">
        <v>113</v>
      </c>
      <c r="R101" s="60" t="s">
        <v>114</v>
      </c>
      <c r="S101" s="24">
        <v>45441</v>
      </c>
      <c r="T101" s="25" t="s">
        <v>242</v>
      </c>
      <c r="U101" s="25" t="s">
        <v>83</v>
      </c>
      <c r="V101" s="25" t="s">
        <v>243</v>
      </c>
      <c r="W101" s="52" t="s">
        <v>279</v>
      </c>
      <c r="X101" s="52" t="s">
        <v>243</v>
      </c>
      <c r="Y101" s="53">
        <v>0</v>
      </c>
      <c r="Z101" s="53">
        <v>379.36</v>
      </c>
      <c r="AA101" s="5">
        <v>-368.54</v>
      </c>
    </row>
    <row r="102" spans="12:27" x14ac:dyDescent="0.25">
      <c r="L102" s="28"/>
      <c r="M102" s="28"/>
      <c r="N102" s="24">
        <v>45447</v>
      </c>
      <c r="O102" s="25" t="s">
        <v>253</v>
      </c>
      <c r="P102" s="25" t="s">
        <v>280</v>
      </c>
      <c r="Q102" s="25" t="s">
        <v>113</v>
      </c>
      <c r="R102" s="60" t="s">
        <v>114</v>
      </c>
      <c r="S102" s="24">
        <v>45447</v>
      </c>
      <c r="T102" s="25" t="s">
        <v>248</v>
      </c>
      <c r="U102" s="25" t="s">
        <v>83</v>
      </c>
      <c r="V102" s="25" t="s">
        <v>249</v>
      </c>
      <c r="W102" s="52" t="s">
        <v>281</v>
      </c>
      <c r="X102" s="52" t="s">
        <v>249</v>
      </c>
      <c r="Y102" s="53">
        <v>0</v>
      </c>
      <c r="Z102" s="53">
        <v>931.84</v>
      </c>
      <c r="AA102" s="5">
        <v>-931.84</v>
      </c>
    </row>
    <row r="103" spans="12:27" x14ac:dyDescent="0.25">
      <c r="L103" s="28"/>
      <c r="M103" s="28"/>
      <c r="N103" s="67">
        <v>45448</v>
      </c>
      <c r="O103" s="25" t="s">
        <v>159</v>
      </c>
      <c r="P103" s="25" t="s">
        <v>282</v>
      </c>
      <c r="Q103" s="25" t="s">
        <v>113</v>
      </c>
      <c r="R103" s="60" t="s">
        <v>114</v>
      </c>
      <c r="S103" s="24">
        <v>45448</v>
      </c>
      <c r="T103" s="25" t="s">
        <v>263</v>
      </c>
      <c r="U103" s="25" t="s">
        <v>83</v>
      </c>
      <c r="V103" s="25" t="s">
        <v>264</v>
      </c>
      <c r="W103" s="52" t="s">
        <v>283</v>
      </c>
      <c r="X103" s="52" t="s">
        <v>264</v>
      </c>
      <c r="Y103" s="53">
        <v>0</v>
      </c>
      <c r="Z103" s="53">
        <v>4456.1899999999996</v>
      </c>
      <c r="AA103" s="5">
        <v>-4272.16</v>
      </c>
    </row>
    <row r="104" spans="12:27" x14ac:dyDescent="0.25">
      <c r="L104" s="28"/>
      <c r="M104" s="28"/>
      <c r="N104" s="69"/>
      <c r="O104" s="23" t="s">
        <v>253</v>
      </c>
      <c r="P104" s="25" t="s">
        <v>284</v>
      </c>
      <c r="Q104" s="25" t="s">
        <v>113</v>
      </c>
      <c r="R104" s="60" t="s">
        <v>114</v>
      </c>
      <c r="S104" s="24">
        <v>45448</v>
      </c>
      <c r="T104" s="25" t="s">
        <v>248</v>
      </c>
      <c r="U104" s="25" t="s">
        <v>83</v>
      </c>
      <c r="V104" s="25" t="s">
        <v>249</v>
      </c>
      <c r="W104" s="52" t="s">
        <v>285</v>
      </c>
      <c r="X104" s="52" t="s">
        <v>249</v>
      </c>
      <c r="Y104" s="53">
        <v>0</v>
      </c>
      <c r="Z104" s="53">
        <v>721.42</v>
      </c>
      <c r="AA104" s="5">
        <v>-721.42</v>
      </c>
    </row>
    <row r="105" spans="12:27" x14ac:dyDescent="0.25">
      <c r="L105" s="28"/>
      <c r="M105" s="28"/>
      <c r="N105" s="69"/>
      <c r="O105" s="28"/>
      <c r="P105" s="25" t="s">
        <v>286</v>
      </c>
      <c r="Q105" s="25" t="s">
        <v>113</v>
      </c>
      <c r="R105" s="60" t="s">
        <v>114</v>
      </c>
      <c r="S105" s="24">
        <v>45448</v>
      </c>
      <c r="T105" s="25" t="s">
        <v>248</v>
      </c>
      <c r="U105" s="25" t="s">
        <v>83</v>
      </c>
      <c r="V105" s="25" t="s">
        <v>249</v>
      </c>
      <c r="W105" s="52" t="s">
        <v>287</v>
      </c>
      <c r="X105" s="52" t="s">
        <v>249</v>
      </c>
      <c r="Y105" s="53">
        <v>0</v>
      </c>
      <c r="Z105" s="53">
        <v>2431.5100000000002</v>
      </c>
      <c r="AA105" s="5">
        <v>-2431.5100000000002</v>
      </c>
    </row>
    <row r="106" spans="12:27" x14ac:dyDescent="0.25">
      <c r="L106" s="28"/>
      <c r="M106" s="28"/>
      <c r="N106" s="69"/>
      <c r="O106" s="28"/>
      <c r="P106" s="25" t="s">
        <v>288</v>
      </c>
      <c r="Q106" s="25" t="s">
        <v>113</v>
      </c>
      <c r="R106" s="60" t="s">
        <v>114</v>
      </c>
      <c r="S106" s="24">
        <v>45448</v>
      </c>
      <c r="T106" s="25" t="s">
        <v>248</v>
      </c>
      <c r="U106" s="25" t="s">
        <v>83</v>
      </c>
      <c r="V106" s="25" t="s">
        <v>249</v>
      </c>
      <c r="W106" s="52" t="s">
        <v>289</v>
      </c>
      <c r="X106" s="52" t="s">
        <v>249</v>
      </c>
      <c r="Y106" s="53">
        <v>0</v>
      </c>
      <c r="Z106" s="53">
        <v>1275.1199999999999</v>
      </c>
      <c r="AA106" s="5">
        <v>-1275.1199999999999</v>
      </c>
    </row>
    <row r="107" spans="12:27" x14ac:dyDescent="0.25">
      <c r="L107" s="28"/>
      <c r="M107" s="28"/>
      <c r="N107" s="69"/>
      <c r="O107" s="28"/>
      <c r="P107" s="25" t="s">
        <v>290</v>
      </c>
      <c r="Q107" s="25" t="s">
        <v>113</v>
      </c>
      <c r="R107" s="60" t="s">
        <v>114</v>
      </c>
      <c r="S107" s="24">
        <v>45448</v>
      </c>
      <c r="T107" s="25" t="s">
        <v>248</v>
      </c>
      <c r="U107" s="25" t="s">
        <v>83</v>
      </c>
      <c r="V107" s="25" t="s">
        <v>249</v>
      </c>
      <c r="W107" s="52" t="s">
        <v>291</v>
      </c>
      <c r="X107" s="52" t="s">
        <v>249</v>
      </c>
      <c r="Y107" s="53">
        <v>0</v>
      </c>
      <c r="Z107" s="53">
        <v>651.66999999999996</v>
      </c>
      <c r="AA107" s="5">
        <v>-651.66999999999996</v>
      </c>
    </row>
    <row r="108" spans="12:27" x14ac:dyDescent="0.25">
      <c r="L108" s="28"/>
      <c r="M108" s="28"/>
      <c r="N108" s="68"/>
      <c r="O108" s="29"/>
      <c r="P108" s="25" t="s">
        <v>292</v>
      </c>
      <c r="Q108" s="25" t="s">
        <v>113</v>
      </c>
      <c r="R108" s="60" t="s">
        <v>114</v>
      </c>
      <c r="S108" s="24">
        <v>45448</v>
      </c>
      <c r="T108" s="25" t="s">
        <v>248</v>
      </c>
      <c r="U108" s="25" t="s">
        <v>83</v>
      </c>
      <c r="V108" s="25" t="s">
        <v>249</v>
      </c>
      <c r="W108" s="52" t="s">
        <v>293</v>
      </c>
      <c r="X108" s="52" t="s">
        <v>249</v>
      </c>
      <c r="Y108" s="53">
        <v>0</v>
      </c>
      <c r="Z108" s="53">
        <v>2712.7</v>
      </c>
      <c r="AA108" s="5">
        <v>-2712.7</v>
      </c>
    </row>
    <row r="109" spans="12:27" x14ac:dyDescent="0.25">
      <c r="L109" s="28"/>
      <c r="M109" s="28"/>
      <c r="N109" s="67">
        <v>45457</v>
      </c>
      <c r="O109" s="23" t="s">
        <v>253</v>
      </c>
      <c r="P109" s="25" t="s">
        <v>294</v>
      </c>
      <c r="Q109" s="25" t="s">
        <v>113</v>
      </c>
      <c r="R109" s="60" t="s">
        <v>114</v>
      </c>
      <c r="S109" s="24">
        <v>45457</v>
      </c>
      <c r="T109" s="25" t="s">
        <v>248</v>
      </c>
      <c r="U109" s="25" t="s">
        <v>83</v>
      </c>
      <c r="V109" s="25" t="s">
        <v>249</v>
      </c>
      <c r="W109" s="52" t="s">
        <v>295</v>
      </c>
      <c r="X109" s="52" t="s">
        <v>249</v>
      </c>
      <c r="Y109" s="53">
        <v>0</v>
      </c>
      <c r="Z109" s="53">
        <v>4915.82</v>
      </c>
      <c r="AA109" s="5">
        <v>-4915.82</v>
      </c>
    </row>
    <row r="110" spans="12:27" x14ac:dyDescent="0.25">
      <c r="L110" s="28"/>
      <c r="M110" s="28"/>
      <c r="N110" s="68"/>
      <c r="O110" s="29"/>
      <c r="P110" s="25" t="s">
        <v>296</v>
      </c>
      <c r="Q110" s="25" t="s">
        <v>113</v>
      </c>
      <c r="R110" s="60" t="s">
        <v>114</v>
      </c>
      <c r="S110" s="24">
        <v>45457</v>
      </c>
      <c r="T110" s="25" t="s">
        <v>248</v>
      </c>
      <c r="U110" s="25" t="s">
        <v>83</v>
      </c>
      <c r="V110" s="25" t="s">
        <v>249</v>
      </c>
      <c r="W110" s="52" t="s">
        <v>297</v>
      </c>
      <c r="X110" s="52" t="s">
        <v>249</v>
      </c>
      <c r="Y110" s="53">
        <v>0</v>
      </c>
      <c r="Z110" s="53">
        <v>0.01</v>
      </c>
      <c r="AA110" s="5">
        <v>-0.01</v>
      </c>
    </row>
    <row r="111" spans="12:27" x14ac:dyDescent="0.25">
      <c r="L111" s="29"/>
      <c r="M111" s="29"/>
      <c r="N111" s="24">
        <v>45471</v>
      </c>
      <c r="O111" s="25" t="s">
        <v>253</v>
      </c>
      <c r="P111" s="25" t="s">
        <v>298</v>
      </c>
      <c r="Q111" s="25" t="s">
        <v>113</v>
      </c>
      <c r="R111" s="60" t="s">
        <v>114</v>
      </c>
      <c r="S111" s="24">
        <v>45471</v>
      </c>
      <c r="T111" s="25" t="s">
        <v>248</v>
      </c>
      <c r="U111" s="25" t="s">
        <v>83</v>
      </c>
      <c r="V111" s="25" t="s">
        <v>249</v>
      </c>
      <c r="W111" s="52" t="s">
        <v>299</v>
      </c>
      <c r="X111" s="52" t="s">
        <v>249</v>
      </c>
      <c r="Y111" s="53">
        <v>0</v>
      </c>
      <c r="Z111" s="53">
        <v>943.6</v>
      </c>
      <c r="AA111" s="5">
        <v>-795.64</v>
      </c>
    </row>
    <row r="112" spans="12:27" x14ac:dyDescent="0.25">
      <c r="L112" s="54" t="s">
        <v>300</v>
      </c>
      <c r="M112" s="55"/>
      <c r="N112" s="66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6">
        <v>0</v>
      </c>
      <c r="Z112" s="56">
        <v>49076.25</v>
      </c>
      <c r="AA112" s="57">
        <v>483.200000000003</v>
      </c>
    </row>
    <row r="113" spans="12:27" x14ac:dyDescent="0.25">
      <c r="L113" s="23" t="s">
        <v>51</v>
      </c>
      <c r="M113" s="23" t="s">
        <v>52</v>
      </c>
      <c r="N113" s="67">
        <v>45365</v>
      </c>
      <c r="O113" s="23" t="s">
        <v>111</v>
      </c>
      <c r="P113" s="25" t="s">
        <v>301</v>
      </c>
      <c r="Q113" s="25" t="s">
        <v>113</v>
      </c>
      <c r="R113" s="60" t="s">
        <v>114</v>
      </c>
      <c r="S113" s="24">
        <v>45365</v>
      </c>
      <c r="T113" s="25" t="s">
        <v>83</v>
      </c>
      <c r="U113" s="25" t="s">
        <v>83</v>
      </c>
      <c r="V113" s="25" t="s">
        <v>302</v>
      </c>
      <c r="W113" s="52" t="s">
        <v>303</v>
      </c>
      <c r="X113" s="52" t="s">
        <v>83</v>
      </c>
      <c r="Y113" s="53">
        <v>0</v>
      </c>
      <c r="Z113" s="53">
        <v>250.87</v>
      </c>
      <c r="AA113" s="5">
        <v>0</v>
      </c>
    </row>
    <row r="114" spans="12:27" x14ac:dyDescent="0.25">
      <c r="L114" s="28"/>
      <c r="M114" s="28"/>
      <c r="N114" s="68"/>
      <c r="O114" s="29"/>
      <c r="P114" s="25" t="s">
        <v>304</v>
      </c>
      <c r="Q114" s="25" t="s">
        <v>113</v>
      </c>
      <c r="R114" s="60" t="s">
        <v>114</v>
      </c>
      <c r="S114" s="24">
        <v>45365</v>
      </c>
      <c r="T114" s="25" t="s">
        <v>83</v>
      </c>
      <c r="U114" s="25" t="s">
        <v>83</v>
      </c>
      <c r="V114" s="25" t="s">
        <v>305</v>
      </c>
      <c r="W114" s="52" t="s">
        <v>306</v>
      </c>
      <c r="X114" s="52" t="s">
        <v>83</v>
      </c>
      <c r="Y114" s="53">
        <v>0</v>
      </c>
      <c r="Z114" s="53">
        <v>309.8</v>
      </c>
      <c r="AA114" s="5">
        <v>0</v>
      </c>
    </row>
    <row r="115" spans="12:27" x14ac:dyDescent="0.25">
      <c r="L115" s="28"/>
      <c r="M115" s="28"/>
      <c r="N115" s="67">
        <v>45373</v>
      </c>
      <c r="O115" s="23" t="s">
        <v>111</v>
      </c>
      <c r="P115" s="25" t="s">
        <v>237</v>
      </c>
      <c r="Q115" s="25" t="s">
        <v>113</v>
      </c>
      <c r="R115" s="60" t="s">
        <v>114</v>
      </c>
      <c r="S115" s="24">
        <v>45373</v>
      </c>
      <c r="T115" s="25" t="s">
        <v>83</v>
      </c>
      <c r="U115" s="25" t="s">
        <v>83</v>
      </c>
      <c r="V115" s="25" t="s">
        <v>307</v>
      </c>
      <c r="W115" s="52" t="s">
        <v>239</v>
      </c>
      <c r="X115" s="52" t="s">
        <v>83</v>
      </c>
      <c r="Y115" s="53">
        <v>0</v>
      </c>
      <c r="Z115" s="53">
        <v>1825</v>
      </c>
      <c r="AA115" s="5">
        <v>0</v>
      </c>
    </row>
    <row r="116" spans="12:27" x14ac:dyDescent="0.25">
      <c r="L116" s="29"/>
      <c r="M116" s="29"/>
      <c r="N116" s="68"/>
      <c r="O116" s="29"/>
      <c r="P116" s="25" t="s">
        <v>308</v>
      </c>
      <c r="Q116" s="25" t="s">
        <v>113</v>
      </c>
      <c r="R116" s="60" t="s">
        <v>114</v>
      </c>
      <c r="S116" s="24">
        <v>45373</v>
      </c>
      <c r="T116" s="25" t="s">
        <v>83</v>
      </c>
      <c r="U116" s="25" t="s">
        <v>83</v>
      </c>
      <c r="V116" s="25" t="s">
        <v>309</v>
      </c>
      <c r="W116" s="52" t="s">
        <v>310</v>
      </c>
      <c r="X116" s="52" t="s">
        <v>83</v>
      </c>
      <c r="Y116" s="53">
        <v>0</v>
      </c>
      <c r="Z116" s="53">
        <v>72.27</v>
      </c>
      <c r="AA116" s="5">
        <v>0</v>
      </c>
    </row>
    <row r="117" spans="12:27" x14ac:dyDescent="0.25">
      <c r="L117" s="54" t="s">
        <v>311</v>
      </c>
      <c r="M117" s="55"/>
      <c r="N117" s="66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6">
        <v>0</v>
      </c>
      <c r="Z117" s="56">
        <v>2457.94</v>
      </c>
      <c r="AA117" s="57">
        <v>0</v>
      </c>
    </row>
    <row r="118" spans="12:27" x14ac:dyDescent="0.25">
      <c r="L118" s="23" t="s">
        <v>53</v>
      </c>
      <c r="M118" s="23" t="s">
        <v>54</v>
      </c>
      <c r="N118" s="24">
        <v>45412</v>
      </c>
      <c r="O118" s="25" t="s">
        <v>111</v>
      </c>
      <c r="P118" s="25" t="s">
        <v>312</v>
      </c>
      <c r="Q118" s="25" t="s">
        <v>113</v>
      </c>
      <c r="R118" s="60" t="s">
        <v>114</v>
      </c>
      <c r="S118" s="24">
        <v>45412</v>
      </c>
      <c r="T118" s="25" t="s">
        <v>83</v>
      </c>
      <c r="U118" s="25" t="s">
        <v>83</v>
      </c>
      <c r="V118" s="25" t="s">
        <v>143</v>
      </c>
      <c r="W118" s="52" t="s">
        <v>313</v>
      </c>
      <c r="X118" s="52" t="s">
        <v>83</v>
      </c>
      <c r="Y118" s="53">
        <v>0</v>
      </c>
      <c r="Z118" s="53">
        <v>203.81</v>
      </c>
      <c r="AA118" s="5">
        <v>0</v>
      </c>
    </row>
    <row r="119" spans="12:27" x14ac:dyDescent="0.25">
      <c r="L119" s="28"/>
      <c r="M119" s="28"/>
      <c r="N119" s="67">
        <v>45414</v>
      </c>
      <c r="O119" s="23" t="s">
        <v>111</v>
      </c>
      <c r="P119" s="25" t="s">
        <v>314</v>
      </c>
      <c r="Q119" s="25" t="s">
        <v>113</v>
      </c>
      <c r="R119" s="60" t="s">
        <v>114</v>
      </c>
      <c r="S119" s="24">
        <v>45414</v>
      </c>
      <c r="T119" s="25" t="s">
        <v>83</v>
      </c>
      <c r="U119" s="25" t="s">
        <v>83</v>
      </c>
      <c r="V119" s="25" t="s">
        <v>315</v>
      </c>
      <c r="W119" s="52" t="s">
        <v>316</v>
      </c>
      <c r="X119" s="52" t="s">
        <v>83</v>
      </c>
      <c r="Y119" s="53">
        <v>0</v>
      </c>
      <c r="Z119" s="53">
        <v>541.33000000000004</v>
      </c>
      <c r="AA119" s="5">
        <v>0</v>
      </c>
    </row>
    <row r="120" spans="12:27" x14ac:dyDescent="0.25">
      <c r="L120" s="29"/>
      <c r="M120" s="29"/>
      <c r="N120" s="68"/>
      <c r="O120" s="29"/>
      <c r="P120" s="25" t="s">
        <v>317</v>
      </c>
      <c r="Q120" s="25" t="s">
        <v>113</v>
      </c>
      <c r="R120" s="60" t="s">
        <v>114</v>
      </c>
      <c r="S120" s="24">
        <v>45414</v>
      </c>
      <c r="T120" s="25" t="s">
        <v>83</v>
      </c>
      <c r="U120" s="25" t="s">
        <v>83</v>
      </c>
      <c r="V120" s="25" t="s">
        <v>143</v>
      </c>
      <c r="W120" s="52" t="s">
        <v>318</v>
      </c>
      <c r="X120" s="52" t="s">
        <v>83</v>
      </c>
      <c r="Y120" s="53">
        <v>0</v>
      </c>
      <c r="Z120" s="53">
        <v>43.43</v>
      </c>
      <c r="AA120" s="5">
        <v>0</v>
      </c>
    </row>
    <row r="121" spans="12:27" x14ac:dyDescent="0.25">
      <c r="L121" s="54" t="s">
        <v>319</v>
      </c>
      <c r="M121" s="55"/>
      <c r="N121" s="66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6">
        <v>0</v>
      </c>
      <c r="Z121" s="56">
        <v>788.57</v>
      </c>
      <c r="AA121" s="57">
        <v>0</v>
      </c>
    </row>
    <row r="122" spans="12:27" x14ac:dyDescent="0.25">
      <c r="L122" s="25" t="s">
        <v>58</v>
      </c>
      <c r="M122" s="25" t="s">
        <v>59</v>
      </c>
      <c r="N122" s="24">
        <v>45421</v>
      </c>
      <c r="O122" s="25" t="s">
        <v>228</v>
      </c>
      <c r="P122" s="25" t="s">
        <v>229</v>
      </c>
      <c r="Q122" s="25" t="s">
        <v>113</v>
      </c>
      <c r="R122" s="60" t="s">
        <v>114</v>
      </c>
      <c r="S122" s="24">
        <v>45421</v>
      </c>
      <c r="T122" s="25" t="s">
        <v>83</v>
      </c>
      <c r="U122" s="25" t="s">
        <v>230</v>
      </c>
      <c r="V122" s="25" t="s">
        <v>320</v>
      </c>
      <c r="W122" s="52" t="s">
        <v>232</v>
      </c>
      <c r="X122" s="52" t="s">
        <v>83</v>
      </c>
      <c r="Y122" s="53">
        <v>0</v>
      </c>
      <c r="Z122" s="53">
        <v>142.27000000000001</v>
      </c>
      <c r="AA122" s="5">
        <v>0</v>
      </c>
    </row>
    <row r="123" spans="12:27" x14ac:dyDescent="0.25">
      <c r="L123" s="54" t="s">
        <v>321</v>
      </c>
      <c r="M123" s="55"/>
      <c r="N123" s="66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6">
        <v>0</v>
      </c>
      <c r="Z123" s="56">
        <v>142.27000000000001</v>
      </c>
      <c r="AA123" s="57">
        <v>0</v>
      </c>
    </row>
    <row r="124" spans="12:27" x14ac:dyDescent="0.25">
      <c r="L124" s="23" t="s">
        <v>60</v>
      </c>
      <c r="M124" s="23" t="s">
        <v>61</v>
      </c>
      <c r="N124" s="24">
        <v>45421</v>
      </c>
      <c r="O124" s="25" t="s">
        <v>228</v>
      </c>
      <c r="P124" s="25" t="s">
        <v>229</v>
      </c>
      <c r="Q124" s="25" t="s">
        <v>113</v>
      </c>
      <c r="R124" s="60" t="s">
        <v>114</v>
      </c>
      <c r="S124" s="24">
        <v>45421</v>
      </c>
      <c r="T124" s="25" t="s">
        <v>83</v>
      </c>
      <c r="U124" s="25" t="s">
        <v>230</v>
      </c>
      <c r="V124" s="25" t="s">
        <v>322</v>
      </c>
      <c r="W124" s="52" t="s">
        <v>232</v>
      </c>
      <c r="X124" s="52" t="s">
        <v>83</v>
      </c>
      <c r="Y124" s="53">
        <v>0</v>
      </c>
      <c r="Z124" s="53">
        <v>918.2</v>
      </c>
      <c r="AA124" s="5">
        <v>0</v>
      </c>
    </row>
    <row r="125" spans="12:27" x14ac:dyDescent="0.25">
      <c r="L125" s="29"/>
      <c r="M125" s="29"/>
      <c r="N125" s="24">
        <v>45436</v>
      </c>
      <c r="O125" s="25" t="s">
        <v>111</v>
      </c>
      <c r="P125" s="25" t="s">
        <v>323</v>
      </c>
      <c r="Q125" s="25" t="s">
        <v>113</v>
      </c>
      <c r="R125" s="60" t="s">
        <v>114</v>
      </c>
      <c r="S125" s="24">
        <v>45436</v>
      </c>
      <c r="T125" s="25" t="s">
        <v>83</v>
      </c>
      <c r="U125" s="25" t="s">
        <v>83</v>
      </c>
      <c r="V125" s="25" t="s">
        <v>324</v>
      </c>
      <c r="W125" s="52" t="s">
        <v>325</v>
      </c>
      <c r="X125" s="52" t="s">
        <v>83</v>
      </c>
      <c r="Y125" s="53">
        <v>0</v>
      </c>
      <c r="Z125" s="53">
        <v>480.95</v>
      </c>
      <c r="AA125" s="5">
        <v>0</v>
      </c>
    </row>
    <row r="126" spans="12:27" x14ac:dyDescent="0.25">
      <c r="L126" s="54" t="s">
        <v>326</v>
      </c>
      <c r="M126" s="55"/>
      <c r="N126" s="66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6">
        <v>0</v>
      </c>
      <c r="Z126" s="56">
        <v>1399.15</v>
      </c>
      <c r="AA126" s="57">
        <v>0</v>
      </c>
    </row>
    <row r="127" spans="12:27" x14ac:dyDescent="0.25">
      <c r="L127" s="25" t="s">
        <v>62</v>
      </c>
      <c r="M127" s="25" t="s">
        <v>63</v>
      </c>
      <c r="N127" s="24">
        <v>45421</v>
      </c>
      <c r="O127" s="25" t="s">
        <v>228</v>
      </c>
      <c r="P127" s="25" t="s">
        <v>229</v>
      </c>
      <c r="Q127" s="25" t="s">
        <v>113</v>
      </c>
      <c r="R127" s="60" t="s">
        <v>114</v>
      </c>
      <c r="S127" s="24">
        <v>45421</v>
      </c>
      <c r="T127" s="25" t="s">
        <v>83</v>
      </c>
      <c r="U127" s="25" t="s">
        <v>230</v>
      </c>
      <c r="V127" s="25" t="s">
        <v>327</v>
      </c>
      <c r="W127" s="52" t="s">
        <v>232</v>
      </c>
      <c r="X127" s="52" t="s">
        <v>83</v>
      </c>
      <c r="Y127" s="53">
        <v>0</v>
      </c>
      <c r="Z127" s="53">
        <v>847.86</v>
      </c>
      <c r="AA127" s="5">
        <v>0</v>
      </c>
    </row>
    <row r="128" spans="12:27" x14ac:dyDescent="0.25">
      <c r="L128" s="54" t="s">
        <v>328</v>
      </c>
      <c r="M128" s="55"/>
      <c r="N128" s="66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6">
        <v>0</v>
      </c>
      <c r="Z128" s="56">
        <v>847.86</v>
      </c>
      <c r="AA128" s="57">
        <v>0</v>
      </c>
    </row>
    <row r="129" spans="12:27" x14ac:dyDescent="0.25">
      <c r="L129" s="23" t="s">
        <v>65</v>
      </c>
      <c r="M129" s="23" t="s">
        <v>66</v>
      </c>
      <c r="N129" s="24">
        <v>45349</v>
      </c>
      <c r="O129" s="25" t="s">
        <v>154</v>
      </c>
      <c r="P129" s="25" t="s">
        <v>155</v>
      </c>
      <c r="Q129" s="25" t="s">
        <v>113</v>
      </c>
      <c r="R129" s="60" t="s">
        <v>114</v>
      </c>
      <c r="S129" s="24">
        <v>45349</v>
      </c>
      <c r="T129" s="25" t="s">
        <v>156</v>
      </c>
      <c r="U129" s="25" t="s">
        <v>83</v>
      </c>
      <c r="V129" s="25" t="s">
        <v>157</v>
      </c>
      <c r="W129" s="52" t="s">
        <v>158</v>
      </c>
      <c r="X129" s="52" t="s">
        <v>157</v>
      </c>
      <c r="Y129" s="53">
        <v>0</v>
      </c>
      <c r="Z129" s="53">
        <v>0</v>
      </c>
      <c r="AA129" s="5">
        <v>20879</v>
      </c>
    </row>
    <row r="130" spans="12:27" x14ac:dyDescent="0.25">
      <c r="L130" s="28"/>
      <c r="M130" s="28"/>
      <c r="N130" s="24">
        <v>45351</v>
      </c>
      <c r="O130" s="25" t="s">
        <v>159</v>
      </c>
      <c r="P130" s="25" t="s">
        <v>160</v>
      </c>
      <c r="Q130" s="25" t="s">
        <v>113</v>
      </c>
      <c r="R130" s="60" t="s">
        <v>114</v>
      </c>
      <c r="S130" s="24">
        <v>45351</v>
      </c>
      <c r="T130" s="25" t="s">
        <v>156</v>
      </c>
      <c r="U130" s="25" t="s">
        <v>83</v>
      </c>
      <c r="V130" s="25" t="s">
        <v>157</v>
      </c>
      <c r="W130" s="52" t="s">
        <v>161</v>
      </c>
      <c r="X130" s="52" t="s">
        <v>157</v>
      </c>
      <c r="Y130" s="53">
        <v>0</v>
      </c>
      <c r="Z130" s="53">
        <v>20879</v>
      </c>
      <c r="AA130" s="5">
        <v>-20879</v>
      </c>
    </row>
    <row r="131" spans="12:27" x14ac:dyDescent="0.25">
      <c r="L131" s="28"/>
      <c r="M131" s="28"/>
      <c r="N131" s="24">
        <v>45357</v>
      </c>
      <c r="O131" s="25" t="s">
        <v>329</v>
      </c>
      <c r="P131" s="25" t="s">
        <v>330</v>
      </c>
      <c r="Q131" s="25" t="s">
        <v>113</v>
      </c>
      <c r="R131" s="60" t="s">
        <v>114</v>
      </c>
      <c r="S131" s="24">
        <v>45357</v>
      </c>
      <c r="T131" s="25" t="s">
        <v>83</v>
      </c>
      <c r="U131" s="25" t="s">
        <v>83</v>
      </c>
      <c r="V131" s="25" t="s">
        <v>331</v>
      </c>
      <c r="W131" s="52" t="s">
        <v>332</v>
      </c>
      <c r="X131" s="52" t="s">
        <v>83</v>
      </c>
      <c r="Y131" s="53">
        <v>0</v>
      </c>
      <c r="Z131" s="53">
        <v>28805</v>
      </c>
      <c r="AA131" s="5">
        <v>0</v>
      </c>
    </row>
    <row r="132" spans="12:27" x14ac:dyDescent="0.25">
      <c r="L132" s="28"/>
      <c r="M132" s="28"/>
      <c r="N132" s="24">
        <v>45380</v>
      </c>
      <c r="O132" s="25" t="s">
        <v>154</v>
      </c>
      <c r="P132" s="25" t="s">
        <v>333</v>
      </c>
      <c r="Q132" s="25" t="s">
        <v>113</v>
      </c>
      <c r="R132" s="60" t="s">
        <v>114</v>
      </c>
      <c r="S132" s="24">
        <v>45380</v>
      </c>
      <c r="T132" s="25" t="s">
        <v>334</v>
      </c>
      <c r="U132" s="25" t="s">
        <v>83</v>
      </c>
      <c r="V132" s="25" t="s">
        <v>335</v>
      </c>
      <c r="W132" s="52" t="s">
        <v>336</v>
      </c>
      <c r="X132" s="52" t="s">
        <v>335</v>
      </c>
      <c r="Y132" s="53">
        <v>0</v>
      </c>
      <c r="Z132" s="53">
        <v>0</v>
      </c>
      <c r="AA132" s="5">
        <v>220233.87</v>
      </c>
    </row>
    <row r="133" spans="12:27" x14ac:dyDescent="0.25">
      <c r="L133" s="28"/>
      <c r="M133" s="28"/>
      <c r="N133" s="24">
        <v>45412</v>
      </c>
      <c r="O133" s="25" t="s">
        <v>154</v>
      </c>
      <c r="P133" s="25" t="s">
        <v>247</v>
      </c>
      <c r="Q133" s="25" t="s">
        <v>113</v>
      </c>
      <c r="R133" s="60" t="s">
        <v>114</v>
      </c>
      <c r="S133" s="24">
        <v>45412</v>
      </c>
      <c r="T133" s="25" t="s">
        <v>248</v>
      </c>
      <c r="U133" s="25" t="s">
        <v>83</v>
      </c>
      <c r="V133" s="25" t="s">
        <v>249</v>
      </c>
      <c r="W133" s="52" t="s">
        <v>250</v>
      </c>
      <c r="X133" s="52" t="s">
        <v>249</v>
      </c>
      <c r="Y133" s="53">
        <v>0</v>
      </c>
      <c r="Z133" s="53">
        <v>0</v>
      </c>
      <c r="AA133" s="5">
        <v>87300.74</v>
      </c>
    </row>
    <row r="134" spans="12:27" x14ac:dyDescent="0.25">
      <c r="L134" s="28"/>
      <c r="M134" s="28"/>
      <c r="N134" s="24">
        <v>45437</v>
      </c>
      <c r="O134" s="25" t="s">
        <v>253</v>
      </c>
      <c r="P134" s="25" t="s">
        <v>274</v>
      </c>
      <c r="Q134" s="25" t="s">
        <v>113</v>
      </c>
      <c r="R134" s="60" t="s">
        <v>114</v>
      </c>
      <c r="S134" s="24">
        <v>45440</v>
      </c>
      <c r="T134" s="25" t="s">
        <v>248</v>
      </c>
      <c r="U134" s="25" t="s">
        <v>83</v>
      </c>
      <c r="V134" s="25" t="s">
        <v>249</v>
      </c>
      <c r="W134" s="52" t="s">
        <v>275</v>
      </c>
      <c r="X134" s="52" t="s">
        <v>249</v>
      </c>
      <c r="Y134" s="53">
        <v>0</v>
      </c>
      <c r="Z134" s="53">
        <v>9722.85</v>
      </c>
      <c r="AA134" s="5">
        <v>-9722.85</v>
      </c>
    </row>
    <row r="135" spans="12:27" x14ac:dyDescent="0.25">
      <c r="L135" s="28"/>
      <c r="M135" s="28"/>
      <c r="N135" s="24">
        <v>45448</v>
      </c>
      <c r="O135" s="25" t="s">
        <v>253</v>
      </c>
      <c r="P135" s="25" t="s">
        <v>292</v>
      </c>
      <c r="Q135" s="25" t="s">
        <v>113</v>
      </c>
      <c r="R135" s="60" t="s">
        <v>114</v>
      </c>
      <c r="S135" s="24">
        <v>45448</v>
      </c>
      <c r="T135" s="25" t="s">
        <v>248</v>
      </c>
      <c r="U135" s="25" t="s">
        <v>83</v>
      </c>
      <c r="V135" s="25" t="s">
        <v>249</v>
      </c>
      <c r="W135" s="52" t="s">
        <v>293</v>
      </c>
      <c r="X135" s="52" t="s">
        <v>249</v>
      </c>
      <c r="Y135" s="53">
        <v>0</v>
      </c>
      <c r="Z135" s="53">
        <v>15588.14</v>
      </c>
      <c r="AA135" s="5">
        <v>-15588.14</v>
      </c>
    </row>
    <row r="136" spans="12:27" x14ac:dyDescent="0.25">
      <c r="L136" s="28"/>
      <c r="M136" s="28"/>
      <c r="N136" s="24">
        <v>45449</v>
      </c>
      <c r="O136" s="25" t="s">
        <v>253</v>
      </c>
      <c r="P136" s="25" t="s">
        <v>337</v>
      </c>
      <c r="Q136" s="25" t="s">
        <v>113</v>
      </c>
      <c r="R136" s="60" t="s">
        <v>114</v>
      </c>
      <c r="S136" s="24">
        <v>45449</v>
      </c>
      <c r="T136" s="25" t="s">
        <v>334</v>
      </c>
      <c r="U136" s="25" t="s">
        <v>83</v>
      </c>
      <c r="V136" s="25" t="s">
        <v>335</v>
      </c>
      <c r="W136" s="52" t="s">
        <v>338</v>
      </c>
      <c r="X136" s="52" t="s">
        <v>335</v>
      </c>
      <c r="Y136" s="53">
        <v>0</v>
      </c>
      <c r="Z136" s="53">
        <v>220233.62</v>
      </c>
      <c r="AA136" s="5">
        <v>-220233.87</v>
      </c>
    </row>
    <row r="137" spans="12:27" x14ac:dyDescent="0.25">
      <c r="L137" s="28"/>
      <c r="M137" s="28"/>
      <c r="N137" s="67">
        <v>45457</v>
      </c>
      <c r="O137" s="23" t="s">
        <v>253</v>
      </c>
      <c r="P137" s="25" t="s">
        <v>254</v>
      </c>
      <c r="Q137" s="25" t="s">
        <v>113</v>
      </c>
      <c r="R137" s="60" t="s">
        <v>114</v>
      </c>
      <c r="S137" s="24">
        <v>45457</v>
      </c>
      <c r="T137" s="25" t="s">
        <v>248</v>
      </c>
      <c r="U137" s="25" t="s">
        <v>83</v>
      </c>
      <c r="V137" s="25" t="s">
        <v>249</v>
      </c>
      <c r="W137" s="52" t="s">
        <v>255</v>
      </c>
      <c r="X137" s="52" t="s">
        <v>249</v>
      </c>
      <c r="Y137" s="53">
        <v>0</v>
      </c>
      <c r="Z137" s="53">
        <v>16028.75</v>
      </c>
      <c r="AA137" s="5">
        <v>-16986.169999999998</v>
      </c>
    </row>
    <row r="138" spans="12:27" x14ac:dyDescent="0.25">
      <c r="L138" s="28"/>
      <c r="M138" s="28"/>
      <c r="N138" s="68"/>
      <c r="O138" s="29"/>
      <c r="P138" s="25" t="s">
        <v>294</v>
      </c>
      <c r="Q138" s="25" t="s">
        <v>113</v>
      </c>
      <c r="R138" s="60" t="s">
        <v>114</v>
      </c>
      <c r="S138" s="24">
        <v>45457</v>
      </c>
      <c r="T138" s="25" t="s">
        <v>248</v>
      </c>
      <c r="U138" s="25" t="s">
        <v>83</v>
      </c>
      <c r="V138" s="25" t="s">
        <v>249</v>
      </c>
      <c r="W138" s="52" t="s">
        <v>295</v>
      </c>
      <c r="X138" s="52" t="s">
        <v>249</v>
      </c>
      <c r="Y138" s="53">
        <v>0</v>
      </c>
      <c r="Z138" s="53">
        <v>18881.04</v>
      </c>
      <c r="AA138" s="5">
        <v>-18881.04</v>
      </c>
    </row>
    <row r="139" spans="12:27" x14ac:dyDescent="0.25">
      <c r="L139" s="29"/>
      <c r="M139" s="29"/>
      <c r="N139" s="24">
        <v>45464</v>
      </c>
      <c r="O139" s="25" t="s">
        <v>253</v>
      </c>
      <c r="P139" s="25" t="s">
        <v>339</v>
      </c>
      <c r="Q139" s="25" t="s">
        <v>113</v>
      </c>
      <c r="R139" s="60" t="s">
        <v>114</v>
      </c>
      <c r="S139" s="24">
        <v>45464</v>
      </c>
      <c r="T139" s="25" t="s">
        <v>248</v>
      </c>
      <c r="U139" s="25" t="s">
        <v>83</v>
      </c>
      <c r="V139" s="25" t="s">
        <v>249</v>
      </c>
      <c r="W139" s="52" t="s">
        <v>340</v>
      </c>
      <c r="X139" s="52" t="s">
        <v>249</v>
      </c>
      <c r="Y139" s="53">
        <v>0</v>
      </c>
      <c r="Z139" s="53">
        <v>12713.31</v>
      </c>
      <c r="AA139" s="5">
        <v>-12713.31</v>
      </c>
    </row>
    <row r="140" spans="12:27" x14ac:dyDescent="0.25">
      <c r="L140" s="54" t="s">
        <v>341</v>
      </c>
      <c r="M140" s="55"/>
      <c r="N140" s="66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6">
        <v>0</v>
      </c>
      <c r="Z140" s="56">
        <v>342851.71</v>
      </c>
      <c r="AA140" s="57">
        <v>13409.23</v>
      </c>
    </row>
  </sheetData>
  <mergeCells count="3">
    <mergeCell ref="B2:J2"/>
    <mergeCell ref="L2:AA2"/>
    <mergeCell ref="AC2:AM2"/>
  </mergeCells>
  <hyperlinks>
    <hyperlink ref="R134" r:id="rId1" xr:uid="{B4CCAE79-6FC4-4A3C-8F20-89A5A0AC0F46}"/>
    <hyperlink ref="R133" r:id="rId2" xr:uid="{2C29F83B-BDF5-4B24-BB43-672F21DD5905}"/>
    <hyperlink ref="R132" r:id="rId3" xr:uid="{62DBDA78-02F0-4F08-B91C-2EB387DAFF05}"/>
    <hyperlink ref="R131" r:id="rId4" xr:uid="{FA0906F5-1D97-4EAD-AB2F-699A91E2F45F}"/>
    <hyperlink ref="R130" r:id="rId5" xr:uid="{46674073-3623-41C2-B601-BE3B61222404}"/>
    <hyperlink ref="R129" r:id="rId6" xr:uid="{1AFC3B98-1D12-4D2F-BB7C-FCF46F3C84CE}"/>
    <hyperlink ref="R127" r:id="rId7" xr:uid="{A81A687A-460B-439A-98B3-9642F570923F}"/>
    <hyperlink ref="R125" r:id="rId8" xr:uid="{B444A8AB-0B4E-4775-9FED-5E554C679132}"/>
    <hyperlink ref="R94" r:id="rId9" xr:uid="{8270F920-42EF-452D-9167-60F2C013AA4D}"/>
    <hyperlink ref="R93" r:id="rId10" xr:uid="{15ED4968-CFA8-407B-BD67-A6F17D238D42}"/>
    <hyperlink ref="R92" r:id="rId11" xr:uid="{A72CB785-F77B-4AF4-B852-A5E756C430C7}"/>
    <hyperlink ref="R91" r:id="rId12" xr:uid="{DE788572-6131-479F-95B7-7DAE4D0042E7}"/>
    <hyperlink ref="R90" r:id="rId13" xr:uid="{4C7531DD-07A1-4D88-839C-DB2A25D1D999}"/>
    <hyperlink ref="R88" r:id="rId14" xr:uid="{5BE03CA4-A9B3-43FB-A250-36048FF81774}"/>
    <hyperlink ref="R87" r:id="rId15" xr:uid="{C1898B09-B8E0-4D13-BCE5-B791E3C4105D}"/>
    <hyperlink ref="R85" r:id="rId16" xr:uid="{30D67568-8ED7-48CC-9603-C66D43658BD1}"/>
    <hyperlink ref="R124" r:id="rId17" xr:uid="{F04B7794-B3DD-49C5-ACCB-E958E2984D2B}"/>
    <hyperlink ref="R122" r:id="rId18" xr:uid="{065B31E0-6A1C-4FC6-9066-D6C67C923895}"/>
    <hyperlink ref="R120" r:id="rId19" xr:uid="{084292FA-63C1-4895-90C3-9E3D72F90F1A}"/>
    <hyperlink ref="R119" r:id="rId20" xr:uid="{193C52E0-E720-4499-9BCF-009E3D47F76F}"/>
    <hyperlink ref="R118" r:id="rId21" xr:uid="{153CD365-EF83-4B0A-BF6D-1FE69888DC4A}"/>
    <hyperlink ref="R116" r:id="rId22" xr:uid="{7E7A43E1-F12F-4818-8153-D66CBC24DA2E}"/>
    <hyperlink ref="R84" r:id="rId23" xr:uid="{F5394730-C6D2-484B-9505-391C15057F41}"/>
    <hyperlink ref="R115" r:id="rId24" xr:uid="{8A4A2EE4-480C-4F98-A52B-D81D18995290}"/>
    <hyperlink ref="R83" r:id="rId25" xr:uid="{3DF659E6-089E-4A86-B914-17EEB21B0272}"/>
    <hyperlink ref="R82" r:id="rId26" xr:uid="{A3CBB6ED-A98E-4DB2-8630-B45671E55D74}"/>
    <hyperlink ref="R81" r:id="rId27" xr:uid="{0C2B9879-30F3-49E6-94FC-A56051871341}"/>
    <hyperlink ref="R80" r:id="rId28" xr:uid="{2D2E72D6-5DCA-47DF-BA15-E8880819551D}"/>
    <hyperlink ref="R79" r:id="rId29" xr:uid="{C7C19DC9-2365-4EF8-981F-B79D187196FA}"/>
    <hyperlink ref="R78" r:id="rId30" xr:uid="{A8FD5D69-BAFC-4C8E-AFE7-A3399CA780D4}"/>
    <hyperlink ref="R76" r:id="rId31" xr:uid="{CAF6B6FD-676A-4EC9-AB9A-289EF6418793}"/>
    <hyperlink ref="R114" r:id="rId32" xr:uid="{3873341B-B534-409B-A83A-D48DE109E06F}"/>
    <hyperlink ref="R113" r:id="rId33" xr:uid="{FF822161-0BE6-4A7F-9727-0D80F35527B1}"/>
    <hyperlink ref="R111" r:id="rId34" xr:uid="{B1A1FB65-3309-483A-8014-4B4032D617D2}"/>
    <hyperlink ref="R110" r:id="rId35" xr:uid="{105939F8-9642-409E-8B15-7B29C21FE771}"/>
    <hyperlink ref="R109" r:id="rId36" xr:uid="{E8BE7794-7F7D-40D1-BC8D-800BF93AAD72}"/>
    <hyperlink ref="R108" r:id="rId37" xr:uid="{7EE8A706-07FC-4621-B7E3-137985858E89}"/>
    <hyperlink ref="R107" r:id="rId38" xr:uid="{38B5DA2D-B48A-4B29-81C4-56CF057EE2E5}"/>
    <hyperlink ref="R106" r:id="rId39" xr:uid="{661CF55D-4629-428A-A950-CC44DC7AAA96}"/>
    <hyperlink ref="R74" r:id="rId40" xr:uid="{07724E49-6D2F-4231-9FC0-C740482BFEE9}"/>
    <hyperlink ref="R105" r:id="rId41" xr:uid="{6B59475C-B0B3-4D45-BE95-AED2A8CEF29A}"/>
    <hyperlink ref="R73" r:id="rId42" xr:uid="{59CD42E6-C080-4356-86FB-0FBDE851166E}"/>
    <hyperlink ref="R71" r:id="rId43" xr:uid="{9607EBAF-3CDB-4D14-A039-C5392A19BEE5}"/>
    <hyperlink ref="R70" r:id="rId44" xr:uid="{5BEF81EC-0863-488E-9FA0-FD8144CD97DA}"/>
    <hyperlink ref="R69" r:id="rId45" xr:uid="{16B66153-A28C-4B44-B226-522E360A0240}"/>
    <hyperlink ref="R68" r:id="rId46" xr:uid="{5838852D-52E8-420A-8B5C-7374B24B8A2A}"/>
    <hyperlink ref="R67" r:id="rId47" xr:uid="{A437CDF5-F2BE-4BD3-AC22-E6290614EC51}"/>
    <hyperlink ref="R66" r:id="rId48" xr:uid="{D1F38283-C70C-4BB0-AEB0-539E01B48754}"/>
    <hyperlink ref="R65" r:id="rId49" xr:uid="{AC2BF2E0-3657-4EFE-811E-2C041F39BC85}"/>
    <hyperlink ref="R104" r:id="rId50" xr:uid="{F10941B9-BE1B-4CA8-889A-652E4CD4A6CC}"/>
    <hyperlink ref="R103" r:id="rId51" xr:uid="{55107FB2-22CB-4E7E-8C1A-45AF12BD8F4D}"/>
    <hyperlink ref="R102" r:id="rId52" xr:uid="{45795AF1-B33C-4E5C-ADCF-627EA70CEE8D}"/>
    <hyperlink ref="R101" r:id="rId53" xr:uid="{AA0F5462-400D-4346-9003-EA6A54A00B91}"/>
    <hyperlink ref="R100" r:id="rId54" xr:uid="{C3F923CD-C6BD-4F3D-9387-7D31A1368A1C}"/>
    <hyperlink ref="R99" r:id="rId55" xr:uid="{99581B58-EA33-4B2B-B6FE-F96C27159D2B}"/>
    <hyperlink ref="R98" r:id="rId56" xr:uid="{5D360348-26C5-4310-8221-0A8A3102F8FF}"/>
    <hyperlink ref="R97" r:id="rId57" xr:uid="{2DC5786C-B519-46D9-813E-5310CE8573E3}"/>
    <hyperlink ref="R96" r:id="rId58" xr:uid="{F80FD9C3-0866-447A-8D68-3911FCC4B122}"/>
    <hyperlink ref="R64" r:id="rId59" xr:uid="{D3C2F59C-4467-4BEA-9C17-424DD13CEEB1}"/>
    <hyperlink ref="R95" r:id="rId60" xr:uid="{5EC24C1F-2F9F-479E-8641-BA8B25265691}"/>
    <hyperlink ref="R63" r:id="rId61" xr:uid="{97EB3B7E-0FEC-49A4-92B4-CBA6461A9308}"/>
    <hyperlink ref="R62" r:id="rId62" xr:uid="{AAA57047-44C7-4640-8BAD-EA48A8693B53}"/>
    <hyperlink ref="R61" r:id="rId63" xr:uid="{2EDCC96D-4E00-4A99-ACCA-1102E5779170}"/>
    <hyperlink ref="R60" r:id="rId64" xr:uid="{66BCA71B-9BBD-4BDD-9D1E-019CACA651BB}"/>
    <hyperlink ref="R58" r:id="rId65" xr:uid="{94DB5BB6-CD55-40D9-B095-4558FA6C778F}"/>
    <hyperlink ref="R57" r:id="rId66" xr:uid="{E08C3273-8413-4352-9E23-AE94138FD7FB}"/>
    <hyperlink ref="R56" r:id="rId67" xr:uid="{5085C9BE-91B3-4C3D-8450-2CA37FD8CE86}"/>
    <hyperlink ref="R55" r:id="rId68" xr:uid="{A1A5D276-C140-4AF5-917F-42BB74AB9F5B}"/>
    <hyperlink ref="R54" r:id="rId69" xr:uid="{986E78EA-AC6D-421C-9DB5-9E4987FCA401}"/>
    <hyperlink ref="R53" r:id="rId70" xr:uid="{9A5DA29C-66B0-40E7-BDCC-1032DE1F304E}"/>
    <hyperlink ref="R52" r:id="rId71" xr:uid="{2543E727-0CE7-45FA-8DE4-6DC28DE02294}"/>
    <hyperlink ref="R50" r:id="rId72" xr:uid="{05FC5559-A79E-4291-B43D-695AF7209440}"/>
    <hyperlink ref="R49" r:id="rId73" xr:uid="{56D8973C-9CFF-422C-AA55-45C0CA764E4A}"/>
    <hyperlink ref="R48" r:id="rId74" xr:uid="{D8483BC1-D0E7-44B1-9AC4-713C2F271693}"/>
    <hyperlink ref="R47" r:id="rId75" xr:uid="{3EF61823-0709-41DE-AB91-A430F0A2CC73}"/>
    <hyperlink ref="R46" r:id="rId76" xr:uid="{AB38A904-FE33-46D2-BA88-429E309C99CC}"/>
    <hyperlink ref="R45" r:id="rId77" xr:uid="{78F0181F-C68F-4C3D-9E58-4FA59CDCCC58}"/>
    <hyperlink ref="R43" r:id="rId78" xr:uid="{7C35D573-FCAC-4A5F-B912-F8512C155939}"/>
    <hyperlink ref="R42" r:id="rId79" xr:uid="{85CC4557-3189-48B6-809A-A29F89ED8598}"/>
    <hyperlink ref="R41" r:id="rId80" xr:uid="{953666FF-D21F-4E99-920D-A8A234A8F2A3}"/>
    <hyperlink ref="R40" r:id="rId81" xr:uid="{927C8AFE-D176-4129-BC6C-540D40334480}"/>
    <hyperlink ref="R39" r:id="rId82" xr:uid="{7EB57083-528E-4E9C-B963-4C7C2D739BDD}"/>
    <hyperlink ref="R38" r:id="rId83" xr:uid="{CB260845-0BFC-4E98-9400-711F49CF3A13}"/>
    <hyperlink ref="R36" r:id="rId84" xr:uid="{47454A6E-7A11-4991-A4B5-D19E0F063024}"/>
    <hyperlink ref="R34" r:id="rId85" xr:uid="{45F533DC-EC73-4DF3-A1BE-2DDF3A6BBE53}"/>
    <hyperlink ref="R33" r:id="rId86" xr:uid="{68C15E81-964A-4BDC-84F3-995786597251}"/>
    <hyperlink ref="R31" r:id="rId87" xr:uid="{17268059-D50B-4602-967D-19E7A015E1CA}"/>
    <hyperlink ref="R29" r:id="rId88" xr:uid="{7F4B5A12-211B-4C13-8F89-8DEEC54319B5}"/>
    <hyperlink ref="R27" r:id="rId89" xr:uid="{913E739A-F393-4F44-BA83-BD1201740FA7}"/>
    <hyperlink ref="R139" r:id="rId90" xr:uid="{CA9F1C2D-F1EE-4E0E-9114-188A8D8361F6}"/>
    <hyperlink ref="R138" r:id="rId91" xr:uid="{D99F2633-0433-46AD-907A-16C6D46D4625}"/>
    <hyperlink ref="R137" r:id="rId92" xr:uid="{1D42E25F-1889-4360-85C2-11D2EDF07AF7}"/>
    <hyperlink ref="R136" r:id="rId93" xr:uid="{6880C14F-4596-4129-9E53-E45EE841D45C}"/>
    <hyperlink ref="R135" r:id="rId94" xr:uid="{6CAF60F7-1BE1-4564-AE86-934FD31A6084}"/>
  </hyperlinks>
  <pageMargins left="0.7" right="0.7" top="0.75" bottom="0.75" header="0.3" footer="0.3"/>
  <ignoredErrors>
    <ignoredError sqref="D5:D30 L5:L1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0F6F-7B24-4C20-80B3-EF2876C9BF2B}">
  <sheetPr>
    <tabColor theme="8" tint="0.79998168889431442"/>
  </sheetPr>
  <dimension ref="B2:AM485"/>
  <sheetViews>
    <sheetView showGridLines="0" topLeftCell="A13" workbookViewId="0">
      <selection activeCell="E16" sqref="E16:E34"/>
    </sheetView>
  </sheetViews>
  <sheetFormatPr defaultRowHeight="15" x14ac:dyDescent="0.25"/>
  <cols>
    <col min="1" max="1" width="3.28515625" customWidth="1"/>
    <col min="2" max="2" width="16" bestFit="1" customWidth="1"/>
    <col min="3" max="3" width="26.28515625" bestFit="1" customWidth="1"/>
    <col min="4" max="4" width="11.85546875" bestFit="1" customWidth="1"/>
    <col min="5" max="5" width="36.7109375" bestFit="1" customWidth="1"/>
    <col min="6" max="6" width="15" bestFit="1" customWidth="1"/>
    <col min="7" max="7" width="17.85546875" bestFit="1" customWidth="1"/>
    <col min="8" max="8" width="16.85546875" bestFit="1" customWidth="1"/>
    <col min="9" max="9" width="19.7109375" bestFit="1" customWidth="1"/>
    <col min="10" max="10" width="16.7109375" bestFit="1" customWidth="1"/>
    <col min="11" max="11" width="3.28515625" customWidth="1"/>
    <col min="12" max="12" width="11.85546875" bestFit="1" customWidth="1"/>
    <col min="13" max="13" width="36.7109375" bestFit="1" customWidth="1"/>
    <col min="14" max="14" width="15.85546875" style="71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7.28515625" bestFit="1" customWidth="1"/>
    <col min="19" max="19" width="10.7109375" bestFit="1" customWidth="1"/>
    <col min="20" max="20" width="3.7109375" customWidth="1"/>
    <col min="21" max="21" width="6.85546875" customWidth="1"/>
    <col min="22" max="22" width="45.140625" bestFit="1" customWidth="1"/>
    <col min="23" max="23" width="27.42578125" customWidth="1"/>
    <col min="24" max="24" width="12.7109375" customWidth="1"/>
    <col min="25" max="25" width="22.42578125" bestFit="1" customWidth="1"/>
    <col min="26" max="26" width="21.42578125" bestFit="1" customWidth="1"/>
    <col min="27" max="27" width="20.7109375" bestFit="1" customWidth="1"/>
    <col min="28" max="28" width="3.28515625" customWidth="1"/>
    <col min="29" max="29" width="16" bestFit="1" customWidth="1"/>
    <col min="30" max="30" width="4.28515625" customWidth="1"/>
    <col min="31" max="31" width="31.5703125" bestFit="1" customWidth="1"/>
    <col min="32" max="32" width="16.140625" bestFit="1" customWidth="1"/>
    <col min="33" max="33" width="11.85546875" bestFit="1" customWidth="1"/>
    <col min="34" max="34" width="38.28515625" bestFit="1" customWidth="1"/>
    <col min="35" max="35" width="19.5703125" bestFit="1" customWidth="1"/>
    <col min="36" max="36" width="20.140625" bestFit="1" customWidth="1"/>
    <col min="37" max="37" width="7.42578125" bestFit="1" customWidth="1"/>
    <col min="38" max="38" width="13.85546875" bestFit="1" customWidth="1"/>
    <col min="39" max="39" width="19.7109375" bestFit="1" customWidth="1"/>
  </cols>
  <sheetData>
    <row r="2" spans="2:39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C2" s="136" t="s">
        <v>362</v>
      </c>
      <c r="AD2" s="136"/>
      <c r="AE2" s="136"/>
      <c r="AF2" s="136"/>
      <c r="AG2" s="136"/>
      <c r="AH2" s="136"/>
      <c r="AI2" s="136"/>
      <c r="AJ2" s="136"/>
      <c r="AK2" s="136"/>
      <c r="AL2" s="136"/>
      <c r="AM2" s="136"/>
    </row>
    <row r="3" spans="2:39" x14ac:dyDescent="0.25">
      <c r="B3" s="82"/>
      <c r="C3" s="82"/>
      <c r="D3" s="82"/>
      <c r="E3" s="82"/>
      <c r="F3" s="82"/>
      <c r="G3" s="82"/>
      <c r="H3" s="82"/>
      <c r="I3" s="82"/>
      <c r="J3" s="82"/>
    </row>
    <row r="4" spans="2:39" x14ac:dyDescent="0.25"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L4" s="46" t="s">
        <v>2</v>
      </c>
      <c r="M4" s="46" t="s">
        <v>3</v>
      </c>
      <c r="N4" s="70" t="s">
        <v>69</v>
      </c>
      <c r="O4" s="14" t="s">
        <v>70</v>
      </c>
      <c r="P4" s="14" t="s">
        <v>71</v>
      </c>
      <c r="Q4" s="14" t="s">
        <v>72</v>
      </c>
      <c r="R4" s="14" t="s">
        <v>73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79</v>
      </c>
      <c r="Y4" s="15" t="s">
        <v>80</v>
      </c>
      <c r="Z4" s="15" t="s">
        <v>81</v>
      </c>
      <c r="AA4" s="16" t="s">
        <v>82</v>
      </c>
      <c r="AC4" s="46" t="s">
        <v>344</v>
      </c>
      <c r="AD4" s="46" t="s">
        <v>345</v>
      </c>
      <c r="AE4" s="46" t="s">
        <v>346</v>
      </c>
      <c r="AF4" s="14" t="s">
        <v>347</v>
      </c>
      <c r="AG4" s="14" t="s">
        <v>2</v>
      </c>
      <c r="AH4" s="14" t="s">
        <v>3</v>
      </c>
      <c r="AI4" s="14" t="s">
        <v>348</v>
      </c>
      <c r="AJ4" s="14" t="s">
        <v>349</v>
      </c>
      <c r="AK4" s="14" t="s">
        <v>350</v>
      </c>
      <c r="AL4" s="15" t="s">
        <v>351</v>
      </c>
      <c r="AM4" s="16" t="s">
        <v>352</v>
      </c>
    </row>
    <row r="5" spans="2:39" x14ac:dyDescent="0.25">
      <c r="B5" s="80">
        <v>1101935</v>
      </c>
      <c r="C5" s="3" t="s">
        <v>10</v>
      </c>
      <c r="D5" s="3" t="s">
        <v>11</v>
      </c>
      <c r="E5" s="3" t="s">
        <v>12</v>
      </c>
      <c r="F5" s="4">
        <v>0</v>
      </c>
      <c r="G5" s="4">
        <v>0</v>
      </c>
      <c r="H5" s="4">
        <v>0</v>
      </c>
      <c r="I5" s="19">
        <v>0</v>
      </c>
      <c r="J5" s="81">
        <v>0</v>
      </c>
      <c r="L5" s="83" t="s">
        <v>14</v>
      </c>
      <c r="M5" s="83" t="s">
        <v>15</v>
      </c>
      <c r="N5" s="24">
        <v>45695</v>
      </c>
      <c r="O5" s="25" t="s">
        <v>84</v>
      </c>
      <c r="P5" s="25" t="s">
        <v>396</v>
      </c>
      <c r="Q5" s="25" t="s">
        <v>86</v>
      </c>
      <c r="R5" s="25" t="s">
        <v>87</v>
      </c>
      <c r="S5" s="24">
        <v>45695</v>
      </c>
      <c r="T5" s="25" t="s">
        <v>83</v>
      </c>
      <c r="U5" s="25" t="s">
        <v>397</v>
      </c>
      <c r="V5" s="25" t="s">
        <v>398</v>
      </c>
      <c r="W5" s="52" t="s">
        <v>83</v>
      </c>
      <c r="X5" s="52" t="s">
        <v>83</v>
      </c>
      <c r="Y5" s="53">
        <v>0</v>
      </c>
      <c r="Z5" s="53">
        <v>-219462</v>
      </c>
      <c r="AA5" s="5">
        <v>0</v>
      </c>
      <c r="AC5" s="47">
        <v>1101935</v>
      </c>
      <c r="AD5" s="23" t="s">
        <v>83</v>
      </c>
      <c r="AE5" s="23" t="s">
        <v>1219</v>
      </c>
      <c r="AF5" s="23" t="s">
        <v>1220</v>
      </c>
      <c r="AG5" s="23" t="s">
        <v>372</v>
      </c>
      <c r="AH5" s="23" t="s">
        <v>373</v>
      </c>
      <c r="AI5" s="24">
        <v>45536</v>
      </c>
      <c r="AJ5" s="25" t="s">
        <v>99</v>
      </c>
      <c r="AK5" s="26">
        <v>0.625</v>
      </c>
      <c r="AL5" s="26">
        <v>48</v>
      </c>
      <c r="AM5" s="27">
        <v>696</v>
      </c>
    </row>
    <row r="6" spans="2:39" x14ac:dyDescent="0.25">
      <c r="B6" s="2"/>
      <c r="C6" s="3" t="s">
        <v>13</v>
      </c>
      <c r="D6" s="3" t="s">
        <v>14</v>
      </c>
      <c r="E6" s="3" t="s">
        <v>15</v>
      </c>
      <c r="F6" s="4">
        <v>0</v>
      </c>
      <c r="G6" s="4">
        <v>-219462</v>
      </c>
      <c r="H6" s="4">
        <v>-219462</v>
      </c>
      <c r="I6" s="19">
        <v>0</v>
      </c>
      <c r="J6" s="21">
        <v>219462</v>
      </c>
      <c r="L6" s="54" t="s">
        <v>90</v>
      </c>
      <c r="M6" s="55"/>
      <c r="N6" s="66"/>
      <c r="O6" s="55"/>
      <c r="P6" s="55"/>
      <c r="Q6" s="55"/>
      <c r="R6" s="55"/>
      <c r="S6" s="55"/>
      <c r="T6" s="55"/>
      <c r="U6" s="55"/>
      <c r="V6" s="55"/>
      <c r="W6" s="55"/>
      <c r="X6" s="55"/>
      <c r="Y6" s="56">
        <v>0</v>
      </c>
      <c r="Z6" s="56">
        <v>-219462</v>
      </c>
      <c r="AA6" s="57">
        <v>0</v>
      </c>
      <c r="AC6" s="28"/>
      <c r="AD6" s="28"/>
      <c r="AE6" s="28"/>
      <c r="AF6" s="28"/>
      <c r="AG6" s="28"/>
      <c r="AH6" s="28"/>
      <c r="AI6" s="24">
        <v>45550</v>
      </c>
      <c r="AJ6" s="25" t="s">
        <v>99</v>
      </c>
      <c r="AK6" s="26">
        <v>0.625</v>
      </c>
      <c r="AL6" s="26">
        <v>72</v>
      </c>
      <c r="AM6" s="27">
        <v>1044</v>
      </c>
    </row>
    <row r="7" spans="2:39" x14ac:dyDescent="0.25">
      <c r="B7" s="2"/>
      <c r="C7" s="6" t="s">
        <v>16</v>
      </c>
      <c r="D7" s="6"/>
      <c r="E7" s="6"/>
      <c r="F7" s="7">
        <v>0</v>
      </c>
      <c r="G7" s="7">
        <v>-219462</v>
      </c>
      <c r="H7" s="7">
        <v>-219462</v>
      </c>
      <c r="I7" s="7">
        <v>0</v>
      </c>
      <c r="J7" s="7">
        <v>219462</v>
      </c>
      <c r="L7" s="25" t="s">
        <v>18</v>
      </c>
      <c r="M7" s="25" t="s">
        <v>19</v>
      </c>
      <c r="N7" s="24">
        <v>45695</v>
      </c>
      <c r="O7" s="25" t="s">
        <v>91</v>
      </c>
      <c r="P7" s="25" t="s">
        <v>396</v>
      </c>
      <c r="Q7" s="25" t="s">
        <v>86</v>
      </c>
      <c r="R7" s="25" t="s">
        <v>87</v>
      </c>
      <c r="S7" s="24">
        <v>45695</v>
      </c>
      <c r="T7" s="25" t="s">
        <v>83</v>
      </c>
      <c r="U7" s="25" t="s">
        <v>397</v>
      </c>
      <c r="V7" s="25" t="s">
        <v>398</v>
      </c>
      <c r="W7" s="52" t="s">
        <v>83</v>
      </c>
      <c r="X7" s="52" t="s">
        <v>83</v>
      </c>
      <c r="Y7" s="53">
        <v>219462</v>
      </c>
      <c r="Z7" s="53">
        <v>0</v>
      </c>
      <c r="AA7" s="5">
        <v>0</v>
      </c>
      <c r="AC7" s="28"/>
      <c r="AD7" s="28"/>
      <c r="AE7" s="28"/>
      <c r="AF7" s="28"/>
      <c r="AG7" s="28"/>
      <c r="AH7" s="28"/>
      <c r="AI7" s="24">
        <v>45564</v>
      </c>
      <c r="AJ7" s="25" t="s">
        <v>99</v>
      </c>
      <c r="AK7" s="26">
        <v>0.625</v>
      </c>
      <c r="AL7" s="26">
        <v>35</v>
      </c>
      <c r="AM7" s="27">
        <v>507.5</v>
      </c>
    </row>
    <row r="8" spans="2:39" x14ac:dyDescent="0.25">
      <c r="B8" s="2"/>
      <c r="C8" s="8" t="s">
        <v>17</v>
      </c>
      <c r="D8" s="3" t="s">
        <v>18</v>
      </c>
      <c r="E8" s="3" t="s">
        <v>19</v>
      </c>
      <c r="F8" s="4">
        <v>219462</v>
      </c>
      <c r="G8" s="4">
        <v>0</v>
      </c>
      <c r="H8" s="4">
        <v>0</v>
      </c>
      <c r="I8" s="19">
        <v>0</v>
      </c>
      <c r="J8" s="21">
        <v>219462</v>
      </c>
      <c r="L8" s="54" t="s">
        <v>92</v>
      </c>
      <c r="M8" s="55"/>
      <c r="N8" s="66"/>
      <c r="O8" s="55"/>
      <c r="P8" s="55"/>
      <c r="Q8" s="55"/>
      <c r="R8" s="55"/>
      <c r="S8" s="55"/>
      <c r="T8" s="55"/>
      <c r="U8" s="55"/>
      <c r="V8" s="55"/>
      <c r="W8" s="55"/>
      <c r="X8" s="55"/>
      <c r="Y8" s="56">
        <v>219462</v>
      </c>
      <c r="Z8" s="56">
        <v>0</v>
      </c>
      <c r="AA8" s="57">
        <v>0</v>
      </c>
      <c r="AC8" s="28"/>
      <c r="AD8" s="28"/>
      <c r="AE8" s="28"/>
      <c r="AF8" s="28"/>
      <c r="AG8" s="28"/>
      <c r="AH8" s="28"/>
      <c r="AI8" s="24">
        <v>45578</v>
      </c>
      <c r="AJ8" s="25" t="s">
        <v>99</v>
      </c>
      <c r="AK8" s="26">
        <v>0.625</v>
      </c>
      <c r="AL8" s="26">
        <v>37</v>
      </c>
      <c r="AM8" s="27">
        <v>536.5</v>
      </c>
    </row>
    <row r="9" spans="2:39" x14ac:dyDescent="0.25">
      <c r="B9" s="2"/>
      <c r="C9" s="8"/>
      <c r="D9" s="3" t="s">
        <v>368</v>
      </c>
      <c r="E9" s="3" t="s">
        <v>369</v>
      </c>
      <c r="F9" s="4">
        <v>0</v>
      </c>
      <c r="G9" s="4">
        <v>0</v>
      </c>
      <c r="H9" s="4">
        <v>0</v>
      </c>
      <c r="I9" s="19">
        <v>0</v>
      </c>
      <c r="J9" s="21">
        <v>0</v>
      </c>
      <c r="L9" s="23" t="s">
        <v>368</v>
      </c>
      <c r="M9" s="23" t="s">
        <v>369</v>
      </c>
      <c r="N9" s="24">
        <v>45679</v>
      </c>
      <c r="O9" s="25" t="s">
        <v>93</v>
      </c>
      <c r="P9" s="25" t="s">
        <v>399</v>
      </c>
      <c r="Q9" s="25" t="s">
        <v>95</v>
      </c>
      <c r="R9" s="25" t="s">
        <v>87</v>
      </c>
      <c r="S9" s="24">
        <v>45679</v>
      </c>
      <c r="T9" s="25" t="s">
        <v>83</v>
      </c>
      <c r="U9" s="25" t="s">
        <v>83</v>
      </c>
      <c r="V9" s="25" t="s">
        <v>96</v>
      </c>
      <c r="W9" s="52" t="s">
        <v>83</v>
      </c>
      <c r="X9" s="52" t="s">
        <v>83</v>
      </c>
      <c r="Y9" s="53">
        <v>0</v>
      </c>
      <c r="Z9" s="53">
        <v>0</v>
      </c>
      <c r="AA9" s="5">
        <v>10537</v>
      </c>
      <c r="AC9" s="28"/>
      <c r="AD9" s="28"/>
      <c r="AE9" s="28"/>
      <c r="AF9" s="28"/>
      <c r="AG9" s="28"/>
      <c r="AH9" s="28"/>
      <c r="AI9" s="24">
        <v>45592</v>
      </c>
      <c r="AJ9" s="25" t="s">
        <v>99</v>
      </c>
      <c r="AK9" s="26">
        <v>0.625</v>
      </c>
      <c r="AL9" s="26">
        <v>36.5</v>
      </c>
      <c r="AM9" s="27">
        <v>529.25</v>
      </c>
    </row>
    <row r="10" spans="2:39" x14ac:dyDescent="0.25">
      <c r="B10" s="2"/>
      <c r="C10" s="8"/>
      <c r="D10" s="3" t="s">
        <v>20</v>
      </c>
      <c r="E10" s="3" t="s">
        <v>21</v>
      </c>
      <c r="F10" s="4">
        <v>0</v>
      </c>
      <c r="G10" s="4">
        <v>23479.72</v>
      </c>
      <c r="H10" s="4">
        <v>23479.72</v>
      </c>
      <c r="I10" s="19">
        <v>0</v>
      </c>
      <c r="J10" s="21">
        <v>-23479.72</v>
      </c>
      <c r="L10" s="28"/>
      <c r="M10" s="28"/>
      <c r="N10" s="67">
        <v>45693</v>
      </c>
      <c r="O10" s="25" t="s">
        <v>93</v>
      </c>
      <c r="P10" s="25" t="s">
        <v>400</v>
      </c>
      <c r="Q10" s="25" t="s">
        <v>98</v>
      </c>
      <c r="R10" s="25" t="s">
        <v>87</v>
      </c>
      <c r="S10" s="24">
        <v>45693</v>
      </c>
      <c r="T10" s="25" t="s">
        <v>83</v>
      </c>
      <c r="U10" s="25" t="s">
        <v>83</v>
      </c>
      <c r="V10" s="25" t="s">
        <v>96</v>
      </c>
      <c r="W10" s="52" t="s">
        <v>83</v>
      </c>
      <c r="X10" s="52" t="s">
        <v>83</v>
      </c>
      <c r="Y10" s="53">
        <v>0</v>
      </c>
      <c r="Z10" s="53">
        <v>0</v>
      </c>
      <c r="AA10" s="5">
        <v>-1171</v>
      </c>
      <c r="AC10" s="28"/>
      <c r="AD10" s="28"/>
      <c r="AE10" s="28"/>
      <c r="AF10" s="28"/>
      <c r="AG10" s="28"/>
      <c r="AH10" s="28"/>
      <c r="AI10" s="24">
        <v>45606</v>
      </c>
      <c r="AJ10" s="25" t="s">
        <v>99</v>
      </c>
      <c r="AK10" s="26">
        <v>0.625</v>
      </c>
      <c r="AL10" s="26">
        <v>37</v>
      </c>
      <c r="AM10" s="27">
        <v>536.5</v>
      </c>
    </row>
    <row r="11" spans="2:39" x14ac:dyDescent="0.25">
      <c r="B11" s="2"/>
      <c r="C11" s="8"/>
      <c r="D11" s="3" t="s">
        <v>370</v>
      </c>
      <c r="E11" s="3" t="s">
        <v>371</v>
      </c>
      <c r="F11" s="4">
        <v>0</v>
      </c>
      <c r="G11" s="4">
        <v>3098.54</v>
      </c>
      <c r="H11" s="4">
        <v>3098.54</v>
      </c>
      <c r="I11" s="19">
        <v>0</v>
      </c>
      <c r="J11" s="21">
        <v>-3098.54</v>
      </c>
      <c r="L11" s="28"/>
      <c r="M11" s="28"/>
      <c r="N11" s="68"/>
      <c r="O11" s="25" t="s">
        <v>99</v>
      </c>
      <c r="P11" s="25" t="s">
        <v>401</v>
      </c>
      <c r="Q11" s="25" t="s">
        <v>95</v>
      </c>
      <c r="R11" s="25" t="s">
        <v>87</v>
      </c>
      <c r="S11" s="24">
        <v>45693</v>
      </c>
      <c r="T11" s="25" t="s">
        <v>83</v>
      </c>
      <c r="U11" s="25" t="s">
        <v>402</v>
      </c>
      <c r="V11" s="25" t="s">
        <v>102</v>
      </c>
      <c r="W11" s="52" t="s">
        <v>83</v>
      </c>
      <c r="X11" s="52" t="s">
        <v>83</v>
      </c>
      <c r="Y11" s="53">
        <v>0</v>
      </c>
      <c r="Z11" s="53">
        <v>2341.5</v>
      </c>
      <c r="AA11" s="5">
        <v>0</v>
      </c>
      <c r="AC11" s="28"/>
      <c r="AD11" s="28"/>
      <c r="AE11" s="28"/>
      <c r="AF11" s="28"/>
      <c r="AG11" s="28"/>
      <c r="AH11" s="28"/>
      <c r="AI11" s="24">
        <v>45620</v>
      </c>
      <c r="AJ11" s="25" t="s">
        <v>99</v>
      </c>
      <c r="AK11" s="26">
        <v>0.625</v>
      </c>
      <c r="AL11" s="26">
        <v>11.5</v>
      </c>
      <c r="AM11" s="27">
        <v>166.75</v>
      </c>
    </row>
    <row r="12" spans="2:39" x14ac:dyDescent="0.25">
      <c r="B12" s="2"/>
      <c r="C12" s="8"/>
      <c r="D12" s="3" t="s">
        <v>372</v>
      </c>
      <c r="E12" s="3" t="s">
        <v>373</v>
      </c>
      <c r="F12" s="4">
        <v>0</v>
      </c>
      <c r="G12" s="4">
        <v>10801.1</v>
      </c>
      <c r="H12" s="4">
        <v>10801.1</v>
      </c>
      <c r="I12" s="19">
        <v>0</v>
      </c>
      <c r="J12" s="21">
        <v>-10801.1</v>
      </c>
      <c r="L12" s="28"/>
      <c r="M12" s="28"/>
      <c r="N12" s="24">
        <v>45695</v>
      </c>
      <c r="O12" s="25" t="s">
        <v>403</v>
      </c>
      <c r="P12" s="25" t="s">
        <v>404</v>
      </c>
      <c r="Q12" s="25" t="s">
        <v>113</v>
      </c>
      <c r="R12" s="60" t="s">
        <v>114</v>
      </c>
      <c r="S12" s="24">
        <v>45695</v>
      </c>
      <c r="T12" s="25" t="s">
        <v>83</v>
      </c>
      <c r="U12" s="25" t="s">
        <v>83</v>
      </c>
      <c r="V12" s="25" t="s">
        <v>405</v>
      </c>
      <c r="W12" s="52" t="s">
        <v>406</v>
      </c>
      <c r="X12" s="52" t="s">
        <v>83</v>
      </c>
      <c r="Y12" s="53">
        <v>0</v>
      </c>
      <c r="Z12" s="53">
        <v>-2341.5</v>
      </c>
      <c r="AA12" s="5">
        <v>0</v>
      </c>
      <c r="AC12" s="28"/>
      <c r="AD12" s="28"/>
      <c r="AE12" s="28"/>
      <c r="AF12" s="28"/>
      <c r="AG12" s="28"/>
      <c r="AH12" s="28"/>
      <c r="AI12" s="24">
        <v>45634</v>
      </c>
      <c r="AJ12" s="25" t="s">
        <v>99</v>
      </c>
      <c r="AK12" s="26">
        <v>0.625</v>
      </c>
      <c r="AL12" s="26">
        <v>39.5</v>
      </c>
      <c r="AM12" s="27">
        <v>572.75</v>
      </c>
    </row>
    <row r="13" spans="2:39" x14ac:dyDescent="0.25">
      <c r="B13" s="2"/>
      <c r="C13" s="8"/>
      <c r="D13" s="3" t="s">
        <v>374</v>
      </c>
      <c r="E13" s="3" t="s">
        <v>375</v>
      </c>
      <c r="F13" s="4">
        <v>0</v>
      </c>
      <c r="G13" s="4">
        <v>216.04</v>
      </c>
      <c r="H13" s="4">
        <v>216.04</v>
      </c>
      <c r="I13" s="19">
        <v>0</v>
      </c>
      <c r="J13" s="21">
        <v>-216.04</v>
      </c>
      <c r="L13" s="29"/>
      <c r="M13" s="29"/>
      <c r="N13" s="24">
        <v>45698</v>
      </c>
      <c r="O13" s="25" t="s">
        <v>93</v>
      </c>
      <c r="P13" s="25" t="s">
        <v>407</v>
      </c>
      <c r="Q13" s="25" t="s">
        <v>98</v>
      </c>
      <c r="R13" s="25" t="s">
        <v>87</v>
      </c>
      <c r="S13" s="24">
        <v>45698</v>
      </c>
      <c r="T13" s="25" t="s">
        <v>83</v>
      </c>
      <c r="U13" s="25" t="s">
        <v>83</v>
      </c>
      <c r="V13" s="25" t="s">
        <v>96</v>
      </c>
      <c r="W13" s="52" t="s">
        <v>83</v>
      </c>
      <c r="X13" s="52" t="s">
        <v>83</v>
      </c>
      <c r="Y13" s="53">
        <v>0</v>
      </c>
      <c r="Z13" s="53">
        <v>0</v>
      </c>
      <c r="AA13" s="5">
        <v>-9366</v>
      </c>
      <c r="AC13" s="28"/>
      <c r="AD13" s="28"/>
      <c r="AE13" s="28"/>
      <c r="AF13" s="28"/>
      <c r="AG13" s="28"/>
      <c r="AH13" s="28"/>
      <c r="AI13" s="24">
        <v>45648</v>
      </c>
      <c r="AJ13" s="25" t="s">
        <v>99</v>
      </c>
      <c r="AK13" s="26">
        <v>0.625</v>
      </c>
      <c r="AL13" s="26">
        <v>68</v>
      </c>
      <c r="AM13" s="27">
        <v>986</v>
      </c>
    </row>
    <row r="14" spans="2:39" x14ac:dyDescent="0.25">
      <c r="B14" s="2"/>
      <c r="C14" s="8"/>
      <c r="D14" s="3" t="s">
        <v>376</v>
      </c>
      <c r="E14" s="3" t="s">
        <v>377</v>
      </c>
      <c r="F14" s="4">
        <v>0</v>
      </c>
      <c r="G14" s="4">
        <v>402.8</v>
      </c>
      <c r="H14" s="4">
        <v>402.8</v>
      </c>
      <c r="I14" s="19">
        <v>0</v>
      </c>
      <c r="J14" s="21">
        <v>-402.8</v>
      </c>
      <c r="L14" s="54" t="s">
        <v>408</v>
      </c>
      <c r="M14" s="55"/>
      <c r="N14" s="66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6">
        <v>0</v>
      </c>
      <c r="Z14" s="56">
        <v>0</v>
      </c>
      <c r="AA14" s="57">
        <v>0</v>
      </c>
      <c r="AC14" s="28"/>
      <c r="AD14" s="28"/>
      <c r="AE14" s="28"/>
      <c r="AF14" s="28"/>
      <c r="AG14" s="28"/>
      <c r="AH14" s="28"/>
      <c r="AI14" s="24">
        <v>45662</v>
      </c>
      <c r="AJ14" s="25" t="s">
        <v>99</v>
      </c>
      <c r="AK14" s="26">
        <v>0.625</v>
      </c>
      <c r="AL14" s="26">
        <v>33</v>
      </c>
      <c r="AM14" s="27">
        <v>485.1</v>
      </c>
    </row>
    <row r="15" spans="2:39" x14ac:dyDescent="0.25">
      <c r="B15" s="2"/>
      <c r="C15" s="9"/>
      <c r="D15" s="3" t="s">
        <v>22</v>
      </c>
      <c r="E15" s="3" t="s">
        <v>23</v>
      </c>
      <c r="F15" s="4">
        <v>0</v>
      </c>
      <c r="G15" s="4">
        <v>7513.52</v>
      </c>
      <c r="H15" s="4">
        <v>7513.52</v>
      </c>
      <c r="I15" s="19">
        <v>0</v>
      </c>
      <c r="J15" s="21">
        <v>-7513.52</v>
      </c>
      <c r="L15" s="23" t="s">
        <v>20</v>
      </c>
      <c r="M15" s="23" t="s">
        <v>21</v>
      </c>
      <c r="N15" s="24">
        <v>45481</v>
      </c>
      <c r="O15" s="25" t="s">
        <v>93</v>
      </c>
      <c r="P15" s="25" t="s">
        <v>409</v>
      </c>
      <c r="Q15" s="25" t="s">
        <v>95</v>
      </c>
      <c r="R15" s="25" t="s">
        <v>87</v>
      </c>
      <c r="S15" s="24">
        <v>45481</v>
      </c>
      <c r="T15" s="25" t="s">
        <v>83</v>
      </c>
      <c r="U15" s="25" t="s">
        <v>83</v>
      </c>
      <c r="V15" s="25" t="s">
        <v>96</v>
      </c>
      <c r="W15" s="52" t="s">
        <v>83</v>
      </c>
      <c r="X15" s="52" t="s">
        <v>83</v>
      </c>
      <c r="Y15" s="53">
        <v>0</v>
      </c>
      <c r="Z15" s="53">
        <v>0</v>
      </c>
      <c r="AA15" s="5">
        <v>563</v>
      </c>
      <c r="AC15" s="28"/>
      <c r="AD15" s="28"/>
      <c r="AE15" s="28"/>
      <c r="AF15" s="28"/>
      <c r="AG15" s="28"/>
      <c r="AH15" s="28"/>
      <c r="AI15" s="24">
        <v>45676</v>
      </c>
      <c r="AJ15" s="25" t="s">
        <v>99</v>
      </c>
      <c r="AK15" s="26">
        <v>0.625</v>
      </c>
      <c r="AL15" s="26">
        <v>13</v>
      </c>
      <c r="AM15" s="27">
        <v>191.1</v>
      </c>
    </row>
    <row r="16" spans="2:39" x14ac:dyDescent="0.25">
      <c r="B16" s="2"/>
      <c r="C16" s="8" t="s">
        <v>24</v>
      </c>
      <c r="D16" s="3" t="s">
        <v>378</v>
      </c>
      <c r="E16" s="3" t="s">
        <v>379</v>
      </c>
      <c r="F16" s="4">
        <v>0</v>
      </c>
      <c r="G16" s="4">
        <v>341.88</v>
      </c>
      <c r="H16" s="4">
        <v>341.88</v>
      </c>
      <c r="I16" s="19">
        <v>0</v>
      </c>
      <c r="J16" s="21">
        <v>-341.88</v>
      </c>
      <c r="L16" s="28"/>
      <c r="M16" s="28"/>
      <c r="N16" s="24">
        <v>45490</v>
      </c>
      <c r="O16" s="25" t="s">
        <v>93</v>
      </c>
      <c r="P16" s="25" t="s">
        <v>410</v>
      </c>
      <c r="Q16" s="25" t="s">
        <v>98</v>
      </c>
      <c r="R16" s="25" t="s">
        <v>87</v>
      </c>
      <c r="S16" s="24">
        <v>45490</v>
      </c>
      <c r="T16" s="25" t="s">
        <v>83</v>
      </c>
      <c r="U16" s="25" t="s">
        <v>83</v>
      </c>
      <c r="V16" s="25" t="s">
        <v>96</v>
      </c>
      <c r="W16" s="52" t="s">
        <v>83</v>
      </c>
      <c r="X16" s="52" t="s">
        <v>83</v>
      </c>
      <c r="Y16" s="53">
        <v>0</v>
      </c>
      <c r="Z16" s="53">
        <v>0</v>
      </c>
      <c r="AA16" s="5">
        <v>-81</v>
      </c>
      <c r="AC16" s="28"/>
      <c r="AD16" s="28"/>
      <c r="AE16" s="28"/>
      <c r="AF16" s="28"/>
      <c r="AG16" s="28"/>
      <c r="AH16" s="28"/>
      <c r="AI16" s="24">
        <v>45690</v>
      </c>
      <c r="AJ16" s="25" t="s">
        <v>99</v>
      </c>
      <c r="AK16" s="26">
        <v>0.625</v>
      </c>
      <c r="AL16" s="26">
        <v>32</v>
      </c>
      <c r="AM16" s="27">
        <v>470.4</v>
      </c>
    </row>
    <row r="17" spans="2:39" x14ac:dyDescent="0.25">
      <c r="B17" s="2"/>
      <c r="C17" s="8"/>
      <c r="D17" s="3" t="s">
        <v>380</v>
      </c>
      <c r="E17" s="3" t="s">
        <v>381</v>
      </c>
      <c r="F17" s="4">
        <v>0</v>
      </c>
      <c r="G17" s="4">
        <v>95.32</v>
      </c>
      <c r="H17" s="4">
        <v>95.32</v>
      </c>
      <c r="I17" s="19">
        <v>0</v>
      </c>
      <c r="J17" s="21">
        <v>-95.32</v>
      </c>
      <c r="L17" s="28"/>
      <c r="M17" s="28"/>
      <c r="N17" s="67">
        <v>45497</v>
      </c>
      <c r="O17" s="25" t="s">
        <v>93</v>
      </c>
      <c r="P17" s="25" t="s">
        <v>411</v>
      </c>
      <c r="Q17" s="25" t="s">
        <v>98</v>
      </c>
      <c r="R17" s="25" t="s">
        <v>87</v>
      </c>
      <c r="S17" s="24">
        <v>45497</v>
      </c>
      <c r="T17" s="25" t="s">
        <v>83</v>
      </c>
      <c r="U17" s="25" t="s">
        <v>83</v>
      </c>
      <c r="V17" s="25" t="s">
        <v>96</v>
      </c>
      <c r="W17" s="52" t="s">
        <v>83</v>
      </c>
      <c r="X17" s="52" t="s">
        <v>83</v>
      </c>
      <c r="Y17" s="53">
        <v>0</v>
      </c>
      <c r="Z17" s="53">
        <v>0</v>
      </c>
      <c r="AA17" s="5">
        <v>-160</v>
      </c>
      <c r="AC17" s="28"/>
      <c r="AD17" s="28"/>
      <c r="AE17" s="28"/>
      <c r="AF17" s="28"/>
      <c r="AG17" s="28"/>
      <c r="AH17" s="28"/>
      <c r="AI17" s="24">
        <v>45704</v>
      </c>
      <c r="AJ17" s="25" t="s">
        <v>99</v>
      </c>
      <c r="AK17" s="26">
        <v>0.625</v>
      </c>
      <c r="AL17" s="26">
        <v>55</v>
      </c>
      <c r="AM17" s="27">
        <v>808.5</v>
      </c>
    </row>
    <row r="18" spans="2:39" x14ac:dyDescent="0.25">
      <c r="B18" s="2"/>
      <c r="C18" s="8"/>
      <c r="D18" s="3" t="s">
        <v>382</v>
      </c>
      <c r="E18" s="3" t="s">
        <v>383</v>
      </c>
      <c r="F18" s="4">
        <v>0</v>
      </c>
      <c r="G18" s="4">
        <v>962.34</v>
      </c>
      <c r="H18" s="4">
        <v>962.34</v>
      </c>
      <c r="I18" s="19">
        <v>0</v>
      </c>
      <c r="J18" s="21">
        <v>-962.34</v>
      </c>
      <c r="L18" s="28"/>
      <c r="M18" s="28"/>
      <c r="N18" s="68"/>
      <c r="O18" s="25" t="s">
        <v>99</v>
      </c>
      <c r="P18" s="25" t="s">
        <v>412</v>
      </c>
      <c r="Q18" s="25" t="s">
        <v>95</v>
      </c>
      <c r="R18" s="25" t="s">
        <v>87</v>
      </c>
      <c r="S18" s="24">
        <v>45497</v>
      </c>
      <c r="T18" s="25" t="s">
        <v>83</v>
      </c>
      <c r="U18" s="25" t="s">
        <v>113</v>
      </c>
      <c r="V18" s="25" t="s">
        <v>102</v>
      </c>
      <c r="W18" s="52" t="s">
        <v>83</v>
      </c>
      <c r="X18" s="52" t="s">
        <v>83</v>
      </c>
      <c r="Y18" s="53">
        <v>0</v>
      </c>
      <c r="Z18" s="53">
        <v>3216.4</v>
      </c>
      <c r="AA18" s="5">
        <v>0</v>
      </c>
      <c r="AC18" s="28"/>
      <c r="AD18" s="28"/>
      <c r="AE18" s="28"/>
      <c r="AF18" s="28"/>
      <c r="AG18" s="28"/>
      <c r="AH18" s="28"/>
      <c r="AI18" s="24">
        <v>45718</v>
      </c>
      <c r="AJ18" s="25" t="s">
        <v>99</v>
      </c>
      <c r="AK18" s="26">
        <v>0.625</v>
      </c>
      <c r="AL18" s="26">
        <v>43.5</v>
      </c>
      <c r="AM18" s="27">
        <v>639.45000000000005</v>
      </c>
    </row>
    <row r="19" spans="2:39" x14ac:dyDescent="0.25">
      <c r="B19" s="2"/>
      <c r="C19" s="8"/>
      <c r="D19" s="3" t="s">
        <v>384</v>
      </c>
      <c r="E19" s="3" t="s">
        <v>385</v>
      </c>
      <c r="F19" s="4">
        <v>0</v>
      </c>
      <c r="G19" s="4">
        <v>128.91</v>
      </c>
      <c r="H19" s="4">
        <v>128.91</v>
      </c>
      <c r="I19" s="19">
        <v>0</v>
      </c>
      <c r="J19" s="21">
        <v>-128.91</v>
      </c>
      <c r="L19" s="28"/>
      <c r="M19" s="28"/>
      <c r="N19" s="67">
        <v>45511</v>
      </c>
      <c r="O19" s="25" t="s">
        <v>93</v>
      </c>
      <c r="P19" s="25" t="s">
        <v>413</v>
      </c>
      <c r="Q19" s="25" t="s">
        <v>98</v>
      </c>
      <c r="R19" s="25" t="s">
        <v>87</v>
      </c>
      <c r="S19" s="24">
        <v>45511</v>
      </c>
      <c r="T19" s="25" t="s">
        <v>83</v>
      </c>
      <c r="U19" s="25" t="s">
        <v>83</v>
      </c>
      <c r="V19" s="25" t="s">
        <v>96</v>
      </c>
      <c r="W19" s="52" t="s">
        <v>83</v>
      </c>
      <c r="X19" s="52" t="s">
        <v>83</v>
      </c>
      <c r="Y19" s="53">
        <v>0</v>
      </c>
      <c r="Z19" s="53">
        <v>0</v>
      </c>
      <c r="AA19" s="5">
        <v>-161</v>
      </c>
      <c r="AC19" s="28"/>
      <c r="AD19" s="28"/>
      <c r="AE19" s="28"/>
      <c r="AF19" s="28"/>
      <c r="AG19" s="28"/>
      <c r="AH19" s="28"/>
      <c r="AI19" s="24">
        <v>45732</v>
      </c>
      <c r="AJ19" s="25" t="s">
        <v>99</v>
      </c>
      <c r="AK19" s="26">
        <v>0.625</v>
      </c>
      <c r="AL19" s="26">
        <v>42.5</v>
      </c>
      <c r="AM19" s="27">
        <v>624.75</v>
      </c>
    </row>
    <row r="20" spans="2:39" x14ac:dyDescent="0.25">
      <c r="B20" s="2"/>
      <c r="C20" s="8"/>
      <c r="D20" s="3" t="s">
        <v>386</v>
      </c>
      <c r="E20" s="3" t="s">
        <v>387</v>
      </c>
      <c r="F20" s="4">
        <v>0</v>
      </c>
      <c r="G20" s="4">
        <v>102.69</v>
      </c>
      <c r="H20" s="4">
        <v>102.69</v>
      </c>
      <c r="I20" s="19">
        <v>0</v>
      </c>
      <c r="J20" s="21">
        <v>-102.69</v>
      </c>
      <c r="L20" s="28"/>
      <c r="M20" s="28"/>
      <c r="N20" s="68"/>
      <c r="O20" s="25" t="s">
        <v>99</v>
      </c>
      <c r="P20" s="25" t="s">
        <v>414</v>
      </c>
      <c r="Q20" s="25" t="s">
        <v>95</v>
      </c>
      <c r="R20" s="25" t="s">
        <v>87</v>
      </c>
      <c r="S20" s="24">
        <v>45511</v>
      </c>
      <c r="T20" s="25" t="s">
        <v>83</v>
      </c>
      <c r="U20" s="25" t="s">
        <v>113</v>
      </c>
      <c r="V20" s="25" t="s">
        <v>102</v>
      </c>
      <c r="W20" s="52" t="s">
        <v>83</v>
      </c>
      <c r="X20" s="52" t="s">
        <v>83</v>
      </c>
      <c r="Y20" s="53">
        <v>0</v>
      </c>
      <c r="Z20" s="53">
        <v>3216.4</v>
      </c>
      <c r="AA20" s="5">
        <v>0</v>
      </c>
      <c r="AC20" s="28"/>
      <c r="AD20" s="28"/>
      <c r="AE20" s="28"/>
      <c r="AF20" s="28"/>
      <c r="AG20" s="28"/>
      <c r="AH20" s="28"/>
      <c r="AI20" s="24">
        <v>45746</v>
      </c>
      <c r="AJ20" s="25" t="s">
        <v>99</v>
      </c>
      <c r="AK20" s="26">
        <v>0.625</v>
      </c>
      <c r="AL20" s="26">
        <v>54</v>
      </c>
      <c r="AM20" s="27">
        <v>793.8</v>
      </c>
    </row>
    <row r="21" spans="2:39" x14ac:dyDescent="0.25">
      <c r="B21" s="2"/>
      <c r="C21" s="8"/>
      <c r="D21" s="3" t="s">
        <v>388</v>
      </c>
      <c r="E21" s="3" t="s">
        <v>389</v>
      </c>
      <c r="F21" s="4">
        <v>0</v>
      </c>
      <c r="G21" s="4">
        <v>308.2</v>
      </c>
      <c r="H21" s="4">
        <v>308.2</v>
      </c>
      <c r="I21" s="19">
        <v>0</v>
      </c>
      <c r="J21" s="21">
        <v>-308.2</v>
      </c>
      <c r="L21" s="28"/>
      <c r="M21" s="28"/>
      <c r="N21" s="67">
        <v>45525</v>
      </c>
      <c r="O21" s="25" t="s">
        <v>93</v>
      </c>
      <c r="P21" s="25" t="s">
        <v>415</v>
      </c>
      <c r="Q21" s="25" t="s">
        <v>98</v>
      </c>
      <c r="R21" s="25" t="s">
        <v>87</v>
      </c>
      <c r="S21" s="24">
        <v>45525</v>
      </c>
      <c r="T21" s="25" t="s">
        <v>83</v>
      </c>
      <c r="U21" s="25" t="s">
        <v>83</v>
      </c>
      <c r="V21" s="25" t="s">
        <v>96</v>
      </c>
      <c r="W21" s="52" t="s">
        <v>83</v>
      </c>
      <c r="X21" s="52" t="s">
        <v>83</v>
      </c>
      <c r="Y21" s="53">
        <v>0</v>
      </c>
      <c r="Z21" s="53">
        <v>0</v>
      </c>
      <c r="AA21" s="5">
        <v>-161</v>
      </c>
      <c r="AC21" s="28"/>
      <c r="AD21" s="28"/>
      <c r="AE21" s="28"/>
      <c r="AF21" s="28"/>
      <c r="AG21" s="28"/>
      <c r="AH21" s="28"/>
      <c r="AI21" s="24">
        <v>45760</v>
      </c>
      <c r="AJ21" s="25" t="s">
        <v>99</v>
      </c>
      <c r="AK21" s="26">
        <v>0.625</v>
      </c>
      <c r="AL21" s="26">
        <v>39</v>
      </c>
      <c r="AM21" s="27">
        <v>573.29999999999995</v>
      </c>
    </row>
    <row r="22" spans="2:39" x14ac:dyDescent="0.25">
      <c r="B22" s="2"/>
      <c r="C22" s="8"/>
      <c r="D22" s="3" t="s">
        <v>390</v>
      </c>
      <c r="E22" s="3" t="s">
        <v>391</v>
      </c>
      <c r="F22" s="4">
        <v>0</v>
      </c>
      <c r="G22" s="4">
        <v>107.62</v>
      </c>
      <c r="H22" s="4">
        <v>107.62</v>
      </c>
      <c r="I22" s="19">
        <v>0</v>
      </c>
      <c r="J22" s="21">
        <v>-107.62</v>
      </c>
      <c r="L22" s="28"/>
      <c r="M22" s="28"/>
      <c r="N22" s="68"/>
      <c r="O22" s="25" t="s">
        <v>99</v>
      </c>
      <c r="P22" s="25" t="s">
        <v>416</v>
      </c>
      <c r="Q22" s="25" t="s">
        <v>95</v>
      </c>
      <c r="R22" s="25" t="s">
        <v>87</v>
      </c>
      <c r="S22" s="24">
        <v>45525</v>
      </c>
      <c r="T22" s="25" t="s">
        <v>83</v>
      </c>
      <c r="U22" s="25" t="s">
        <v>342</v>
      </c>
      <c r="V22" s="25" t="s">
        <v>102</v>
      </c>
      <c r="W22" s="52" t="s">
        <v>83</v>
      </c>
      <c r="X22" s="52" t="s">
        <v>83</v>
      </c>
      <c r="Y22" s="53">
        <v>0</v>
      </c>
      <c r="Z22" s="53">
        <v>3216.4</v>
      </c>
      <c r="AA22" s="5">
        <v>0</v>
      </c>
      <c r="AC22" s="28"/>
      <c r="AD22" s="28"/>
      <c r="AE22" s="28"/>
      <c r="AF22" s="28"/>
      <c r="AG22" s="28"/>
      <c r="AH22" s="28"/>
      <c r="AI22" s="24">
        <v>45774</v>
      </c>
      <c r="AJ22" s="25" t="s">
        <v>99</v>
      </c>
      <c r="AK22" s="26">
        <v>0.625</v>
      </c>
      <c r="AL22" s="26">
        <v>23</v>
      </c>
      <c r="AM22" s="27">
        <v>338.1</v>
      </c>
    </row>
    <row r="23" spans="2:39" x14ac:dyDescent="0.25">
      <c r="B23" s="2"/>
      <c r="C23" s="8"/>
      <c r="D23" s="3" t="s">
        <v>31</v>
      </c>
      <c r="E23" s="3" t="s">
        <v>32</v>
      </c>
      <c r="F23" s="4">
        <v>0</v>
      </c>
      <c r="G23" s="4">
        <v>2433.98</v>
      </c>
      <c r="H23" s="4">
        <v>2433.98</v>
      </c>
      <c r="I23" s="19">
        <v>0</v>
      </c>
      <c r="J23" s="21">
        <v>-2433.98</v>
      </c>
      <c r="L23" s="28"/>
      <c r="M23" s="28"/>
      <c r="N23" s="24">
        <v>45796</v>
      </c>
      <c r="O23" s="25" t="s">
        <v>93</v>
      </c>
      <c r="P23" s="25" t="s">
        <v>417</v>
      </c>
      <c r="Q23" s="25" t="s">
        <v>95</v>
      </c>
      <c r="R23" s="25" t="s">
        <v>87</v>
      </c>
      <c r="S23" s="24">
        <v>45796</v>
      </c>
      <c r="T23" s="25" t="s">
        <v>83</v>
      </c>
      <c r="U23" s="25" t="s">
        <v>83</v>
      </c>
      <c r="V23" s="25" t="s">
        <v>96</v>
      </c>
      <c r="W23" s="52" t="s">
        <v>83</v>
      </c>
      <c r="X23" s="52" t="s">
        <v>83</v>
      </c>
      <c r="Y23" s="53">
        <v>0</v>
      </c>
      <c r="Z23" s="53">
        <v>0</v>
      </c>
      <c r="AA23" s="5">
        <v>418</v>
      </c>
      <c r="AC23" s="28"/>
      <c r="AD23" s="28"/>
      <c r="AE23" s="28"/>
      <c r="AF23" s="28"/>
      <c r="AG23" s="29"/>
      <c r="AH23" s="29"/>
      <c r="AI23" s="24">
        <v>45788</v>
      </c>
      <c r="AJ23" s="25" t="s">
        <v>99</v>
      </c>
      <c r="AK23" s="26">
        <v>0.625</v>
      </c>
      <c r="AL23" s="26">
        <v>20.5</v>
      </c>
      <c r="AM23" s="27">
        <v>301.35000000000002</v>
      </c>
    </row>
    <row r="24" spans="2:39" x14ac:dyDescent="0.25">
      <c r="B24" s="2"/>
      <c r="C24" s="8"/>
      <c r="D24" s="3" t="s">
        <v>33</v>
      </c>
      <c r="E24" s="3" t="s">
        <v>34</v>
      </c>
      <c r="F24" s="4">
        <v>0</v>
      </c>
      <c r="G24" s="4">
        <v>170.25</v>
      </c>
      <c r="H24" s="4">
        <v>170.25</v>
      </c>
      <c r="I24" s="19">
        <v>0</v>
      </c>
      <c r="J24" s="21">
        <v>-170.25</v>
      </c>
      <c r="L24" s="28"/>
      <c r="M24" s="28"/>
      <c r="N24" s="67">
        <v>45819</v>
      </c>
      <c r="O24" s="25" t="s">
        <v>93</v>
      </c>
      <c r="P24" s="25" t="s">
        <v>418</v>
      </c>
      <c r="Q24" s="25" t="s">
        <v>98</v>
      </c>
      <c r="R24" s="25" t="s">
        <v>87</v>
      </c>
      <c r="S24" s="24">
        <v>45819</v>
      </c>
      <c r="T24" s="25" t="s">
        <v>83</v>
      </c>
      <c r="U24" s="25" t="s">
        <v>83</v>
      </c>
      <c r="V24" s="25" t="s">
        <v>96</v>
      </c>
      <c r="W24" s="52" t="s">
        <v>83</v>
      </c>
      <c r="X24" s="52" t="s">
        <v>83</v>
      </c>
      <c r="Y24" s="53">
        <v>0</v>
      </c>
      <c r="Z24" s="53">
        <v>0</v>
      </c>
      <c r="AA24" s="5">
        <v>-161</v>
      </c>
      <c r="AC24" s="28"/>
      <c r="AD24" s="28"/>
      <c r="AE24" s="28"/>
      <c r="AF24" s="28"/>
      <c r="AG24" s="30" t="s">
        <v>466</v>
      </c>
      <c r="AH24" s="31"/>
      <c r="AI24" s="31"/>
      <c r="AJ24" s="31"/>
      <c r="AK24" s="31"/>
      <c r="AL24" s="32">
        <v>740</v>
      </c>
      <c r="AM24" s="33">
        <v>10801.1</v>
      </c>
    </row>
    <row r="25" spans="2:39" x14ac:dyDescent="0.25">
      <c r="B25" s="2"/>
      <c r="C25" s="8"/>
      <c r="D25" s="3" t="s">
        <v>37</v>
      </c>
      <c r="E25" s="3" t="s">
        <v>38</v>
      </c>
      <c r="F25" s="4">
        <v>0</v>
      </c>
      <c r="G25" s="4">
        <v>73587.02</v>
      </c>
      <c r="H25" s="4">
        <v>73587.02</v>
      </c>
      <c r="I25" s="19">
        <v>280.92</v>
      </c>
      <c r="J25" s="21">
        <v>-73867.94</v>
      </c>
      <c r="L25" s="28"/>
      <c r="M25" s="28"/>
      <c r="N25" s="69"/>
      <c r="O25" s="23" t="s">
        <v>99</v>
      </c>
      <c r="P25" s="23" t="s">
        <v>419</v>
      </c>
      <c r="Q25" s="23" t="s">
        <v>95</v>
      </c>
      <c r="R25" s="23" t="s">
        <v>87</v>
      </c>
      <c r="S25" s="58">
        <v>45819</v>
      </c>
      <c r="T25" s="23" t="s">
        <v>83</v>
      </c>
      <c r="U25" s="25" t="s">
        <v>101</v>
      </c>
      <c r="V25" s="25" t="s">
        <v>102</v>
      </c>
      <c r="W25" s="52" t="s">
        <v>83</v>
      </c>
      <c r="X25" s="52" t="s">
        <v>83</v>
      </c>
      <c r="Y25" s="53">
        <v>0</v>
      </c>
      <c r="Z25" s="53">
        <v>2573.12</v>
      </c>
      <c r="AA25" s="5">
        <v>0</v>
      </c>
      <c r="AC25" s="28"/>
      <c r="AD25" s="28"/>
      <c r="AE25" s="28"/>
      <c r="AF25" s="28"/>
      <c r="AG25" s="23" t="s">
        <v>374</v>
      </c>
      <c r="AH25" s="23" t="s">
        <v>375</v>
      </c>
      <c r="AI25" s="24">
        <v>45536</v>
      </c>
      <c r="AJ25" s="25" t="s">
        <v>99</v>
      </c>
      <c r="AK25" s="26">
        <v>0.625</v>
      </c>
      <c r="AL25" s="26">
        <v>0</v>
      </c>
      <c r="AM25" s="27">
        <v>13.92</v>
      </c>
    </row>
    <row r="26" spans="2:39" x14ac:dyDescent="0.25">
      <c r="B26" s="2"/>
      <c r="C26" s="8"/>
      <c r="D26" s="3" t="s">
        <v>39</v>
      </c>
      <c r="E26" s="3" t="s">
        <v>40</v>
      </c>
      <c r="F26" s="4">
        <v>0</v>
      </c>
      <c r="G26" s="4">
        <v>4098.6899999999996</v>
      </c>
      <c r="H26" s="4">
        <v>4098.6899999999996</v>
      </c>
      <c r="I26" s="19">
        <v>0</v>
      </c>
      <c r="J26" s="21">
        <v>-4098.6899999999996</v>
      </c>
      <c r="L26" s="28"/>
      <c r="M26" s="28"/>
      <c r="N26" s="68"/>
      <c r="O26" s="29"/>
      <c r="P26" s="29"/>
      <c r="Q26" s="29"/>
      <c r="R26" s="29"/>
      <c r="S26" s="59"/>
      <c r="T26" s="29"/>
      <c r="U26" s="25" t="s">
        <v>106</v>
      </c>
      <c r="V26" s="25" t="s">
        <v>102</v>
      </c>
      <c r="W26" s="52" t="s">
        <v>83</v>
      </c>
      <c r="X26" s="52" t="s">
        <v>83</v>
      </c>
      <c r="Y26" s="53">
        <v>0</v>
      </c>
      <c r="Z26" s="53">
        <v>3216.4</v>
      </c>
      <c r="AA26" s="5">
        <v>0</v>
      </c>
      <c r="AC26" s="28"/>
      <c r="AD26" s="28"/>
      <c r="AE26" s="28"/>
      <c r="AF26" s="28"/>
      <c r="AG26" s="28"/>
      <c r="AH26" s="28"/>
      <c r="AI26" s="24">
        <v>45550</v>
      </c>
      <c r="AJ26" s="25" t="s">
        <v>99</v>
      </c>
      <c r="AK26" s="26">
        <v>0.625</v>
      </c>
      <c r="AL26" s="26">
        <v>0</v>
      </c>
      <c r="AM26" s="27">
        <v>20.88</v>
      </c>
    </row>
    <row r="27" spans="2:39" x14ac:dyDescent="0.25">
      <c r="B27" s="2"/>
      <c r="C27" s="8"/>
      <c r="D27" s="3" t="s">
        <v>41</v>
      </c>
      <c r="E27" s="3" t="s">
        <v>42</v>
      </c>
      <c r="F27" s="4">
        <v>0</v>
      </c>
      <c r="G27" s="4">
        <v>1044</v>
      </c>
      <c r="H27" s="4">
        <v>1044</v>
      </c>
      <c r="I27" s="19">
        <v>0</v>
      </c>
      <c r="J27" s="21">
        <v>-1044</v>
      </c>
      <c r="L27" s="28"/>
      <c r="M27" s="28"/>
      <c r="N27" s="67">
        <v>45833</v>
      </c>
      <c r="O27" s="25" t="s">
        <v>93</v>
      </c>
      <c r="P27" s="25" t="s">
        <v>420</v>
      </c>
      <c r="Q27" s="25" t="s">
        <v>98</v>
      </c>
      <c r="R27" s="25" t="s">
        <v>87</v>
      </c>
      <c r="S27" s="24">
        <v>45833</v>
      </c>
      <c r="T27" s="25" t="s">
        <v>83</v>
      </c>
      <c r="U27" s="25" t="s">
        <v>83</v>
      </c>
      <c r="V27" s="25" t="s">
        <v>96</v>
      </c>
      <c r="W27" s="52" t="s">
        <v>83</v>
      </c>
      <c r="X27" s="52" t="s">
        <v>83</v>
      </c>
      <c r="Y27" s="53">
        <v>0</v>
      </c>
      <c r="Z27" s="53">
        <v>0</v>
      </c>
      <c r="AA27" s="5">
        <v>-161</v>
      </c>
      <c r="AC27" s="28"/>
      <c r="AD27" s="28"/>
      <c r="AE27" s="28"/>
      <c r="AF27" s="28"/>
      <c r="AG27" s="28"/>
      <c r="AH27" s="28"/>
      <c r="AI27" s="24">
        <v>45564</v>
      </c>
      <c r="AJ27" s="25" t="s">
        <v>99</v>
      </c>
      <c r="AK27" s="26">
        <v>0.625</v>
      </c>
      <c r="AL27" s="26">
        <v>0</v>
      </c>
      <c r="AM27" s="27">
        <v>10.15</v>
      </c>
    </row>
    <row r="28" spans="2:39" x14ac:dyDescent="0.25">
      <c r="B28" s="2"/>
      <c r="C28" s="8"/>
      <c r="D28" s="3" t="s">
        <v>43</v>
      </c>
      <c r="E28" s="3" t="s">
        <v>44</v>
      </c>
      <c r="F28" s="4">
        <v>0</v>
      </c>
      <c r="G28" s="4">
        <v>76.989999999999995</v>
      </c>
      <c r="H28" s="4">
        <v>76.989999999999995</v>
      </c>
      <c r="I28" s="19">
        <v>0</v>
      </c>
      <c r="J28" s="21">
        <v>-76.989999999999995</v>
      </c>
      <c r="L28" s="28"/>
      <c r="M28" s="28"/>
      <c r="N28" s="68"/>
      <c r="O28" s="25" t="s">
        <v>99</v>
      </c>
      <c r="P28" s="25" t="s">
        <v>421</v>
      </c>
      <c r="Q28" s="25" t="s">
        <v>95</v>
      </c>
      <c r="R28" s="25" t="s">
        <v>87</v>
      </c>
      <c r="S28" s="24">
        <v>45833</v>
      </c>
      <c r="T28" s="25" t="s">
        <v>83</v>
      </c>
      <c r="U28" s="25" t="s">
        <v>106</v>
      </c>
      <c r="V28" s="25" t="s">
        <v>102</v>
      </c>
      <c r="W28" s="52" t="s">
        <v>83</v>
      </c>
      <c r="X28" s="52" t="s">
        <v>83</v>
      </c>
      <c r="Y28" s="53">
        <v>0</v>
      </c>
      <c r="Z28" s="53">
        <v>5789.52</v>
      </c>
      <c r="AA28" s="5">
        <v>0</v>
      </c>
      <c r="AC28" s="28"/>
      <c r="AD28" s="28"/>
      <c r="AE28" s="28"/>
      <c r="AF28" s="28"/>
      <c r="AG28" s="28"/>
      <c r="AH28" s="28"/>
      <c r="AI28" s="24">
        <v>45578</v>
      </c>
      <c r="AJ28" s="25" t="s">
        <v>99</v>
      </c>
      <c r="AK28" s="26">
        <v>0.625</v>
      </c>
      <c r="AL28" s="26">
        <v>0</v>
      </c>
      <c r="AM28" s="27">
        <v>10.73</v>
      </c>
    </row>
    <row r="29" spans="2:39" x14ac:dyDescent="0.25">
      <c r="B29" s="2"/>
      <c r="C29" s="8"/>
      <c r="D29" s="3" t="s">
        <v>392</v>
      </c>
      <c r="E29" s="3" t="s">
        <v>393</v>
      </c>
      <c r="F29" s="4">
        <v>0</v>
      </c>
      <c r="G29" s="4">
        <v>265</v>
      </c>
      <c r="H29" s="4">
        <v>265</v>
      </c>
      <c r="I29" s="19">
        <v>0</v>
      </c>
      <c r="J29" s="21">
        <v>-265</v>
      </c>
      <c r="L29" s="28"/>
      <c r="M29" s="28"/>
      <c r="N29" s="24">
        <v>45847</v>
      </c>
      <c r="O29" s="25" t="s">
        <v>99</v>
      </c>
      <c r="P29" s="25" t="s">
        <v>422</v>
      </c>
      <c r="Q29" s="25" t="s">
        <v>95</v>
      </c>
      <c r="R29" s="25" t="s">
        <v>87</v>
      </c>
      <c r="S29" s="24">
        <v>45847</v>
      </c>
      <c r="T29" s="25" t="s">
        <v>83</v>
      </c>
      <c r="U29" s="25" t="s">
        <v>106</v>
      </c>
      <c r="V29" s="25" t="s">
        <v>102</v>
      </c>
      <c r="W29" s="52" t="s">
        <v>83</v>
      </c>
      <c r="X29" s="52" t="s">
        <v>83</v>
      </c>
      <c r="Y29" s="53">
        <v>0</v>
      </c>
      <c r="Z29" s="53">
        <v>2251.48</v>
      </c>
      <c r="AA29" s="5">
        <v>0</v>
      </c>
      <c r="AC29" s="28"/>
      <c r="AD29" s="28"/>
      <c r="AE29" s="28"/>
      <c r="AF29" s="28"/>
      <c r="AG29" s="28"/>
      <c r="AH29" s="28"/>
      <c r="AI29" s="24">
        <v>45592</v>
      </c>
      <c r="AJ29" s="25" t="s">
        <v>99</v>
      </c>
      <c r="AK29" s="26">
        <v>0.625</v>
      </c>
      <c r="AL29" s="26">
        <v>0</v>
      </c>
      <c r="AM29" s="27">
        <v>10.59</v>
      </c>
    </row>
    <row r="30" spans="2:39" x14ac:dyDescent="0.25">
      <c r="B30" s="2"/>
      <c r="C30" s="8"/>
      <c r="D30" s="3" t="s">
        <v>45</v>
      </c>
      <c r="E30" s="3" t="s">
        <v>46</v>
      </c>
      <c r="F30" s="4">
        <v>0</v>
      </c>
      <c r="G30" s="4">
        <v>434.94</v>
      </c>
      <c r="H30" s="4">
        <v>434.94</v>
      </c>
      <c r="I30" s="19">
        <v>0</v>
      </c>
      <c r="J30" s="21">
        <v>-434.94</v>
      </c>
      <c r="L30" s="29"/>
      <c r="M30" s="29"/>
      <c r="N30" s="24">
        <v>45849</v>
      </c>
      <c r="O30" s="25" t="s">
        <v>93</v>
      </c>
      <c r="P30" s="25" t="s">
        <v>423</v>
      </c>
      <c r="Q30" s="25" t="s">
        <v>98</v>
      </c>
      <c r="R30" s="25" t="s">
        <v>87</v>
      </c>
      <c r="S30" s="24">
        <v>45849</v>
      </c>
      <c r="T30" s="25" t="s">
        <v>83</v>
      </c>
      <c r="U30" s="25" t="s">
        <v>83</v>
      </c>
      <c r="V30" s="25" t="s">
        <v>96</v>
      </c>
      <c r="W30" s="52" t="s">
        <v>83</v>
      </c>
      <c r="X30" s="52" t="s">
        <v>83</v>
      </c>
      <c r="Y30" s="53">
        <v>0</v>
      </c>
      <c r="Z30" s="53">
        <v>0</v>
      </c>
      <c r="AA30" s="5">
        <v>-96</v>
      </c>
      <c r="AC30" s="28"/>
      <c r="AD30" s="28"/>
      <c r="AE30" s="28"/>
      <c r="AF30" s="28"/>
      <c r="AG30" s="28"/>
      <c r="AH30" s="28"/>
      <c r="AI30" s="24">
        <v>45606</v>
      </c>
      <c r="AJ30" s="25" t="s">
        <v>99</v>
      </c>
      <c r="AK30" s="26">
        <v>0.625</v>
      </c>
      <c r="AL30" s="26">
        <v>0</v>
      </c>
      <c r="AM30" s="27">
        <v>10.73</v>
      </c>
    </row>
    <row r="31" spans="2:39" x14ac:dyDescent="0.25">
      <c r="B31" s="2"/>
      <c r="C31" s="8"/>
      <c r="D31" s="3" t="s">
        <v>394</v>
      </c>
      <c r="E31" s="3" t="s">
        <v>395</v>
      </c>
      <c r="F31" s="4">
        <v>0</v>
      </c>
      <c r="G31" s="4">
        <v>16.47</v>
      </c>
      <c r="H31" s="4">
        <v>16.47</v>
      </c>
      <c r="I31" s="19">
        <v>0</v>
      </c>
      <c r="J31" s="21">
        <v>-16.47</v>
      </c>
      <c r="L31" s="54" t="s">
        <v>109</v>
      </c>
      <c r="M31" s="55"/>
      <c r="N31" s="66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6">
        <v>0</v>
      </c>
      <c r="Z31" s="56">
        <v>23479.72</v>
      </c>
      <c r="AA31" s="57">
        <v>0</v>
      </c>
      <c r="AC31" s="28"/>
      <c r="AD31" s="28"/>
      <c r="AE31" s="28"/>
      <c r="AF31" s="28"/>
      <c r="AG31" s="28"/>
      <c r="AH31" s="28"/>
      <c r="AI31" s="24">
        <v>45620</v>
      </c>
      <c r="AJ31" s="25" t="s">
        <v>99</v>
      </c>
      <c r="AK31" s="26">
        <v>0.625</v>
      </c>
      <c r="AL31" s="26">
        <v>0</v>
      </c>
      <c r="AM31" s="27">
        <v>3.34</v>
      </c>
    </row>
    <row r="32" spans="2:39" x14ac:dyDescent="0.25">
      <c r="B32" s="2"/>
      <c r="C32" s="8"/>
      <c r="D32" s="3" t="s">
        <v>47</v>
      </c>
      <c r="E32" s="3" t="s">
        <v>48</v>
      </c>
      <c r="F32" s="4">
        <v>0</v>
      </c>
      <c r="G32" s="4">
        <v>7314.26</v>
      </c>
      <c r="H32" s="4">
        <v>7314.26</v>
      </c>
      <c r="I32" s="19">
        <v>0</v>
      </c>
      <c r="J32" s="21">
        <v>-7314.26</v>
      </c>
      <c r="L32" s="23" t="s">
        <v>370</v>
      </c>
      <c r="M32" s="23" t="s">
        <v>371</v>
      </c>
      <c r="N32" s="24">
        <v>45791</v>
      </c>
      <c r="O32" s="25" t="s">
        <v>93</v>
      </c>
      <c r="P32" s="25" t="s">
        <v>424</v>
      </c>
      <c r="Q32" s="25" t="s">
        <v>95</v>
      </c>
      <c r="R32" s="25" t="s">
        <v>87</v>
      </c>
      <c r="S32" s="24">
        <v>45791</v>
      </c>
      <c r="T32" s="25" t="s">
        <v>83</v>
      </c>
      <c r="U32" s="25" t="s">
        <v>83</v>
      </c>
      <c r="V32" s="25" t="s">
        <v>96</v>
      </c>
      <c r="W32" s="52" t="s">
        <v>83</v>
      </c>
      <c r="X32" s="52" t="s">
        <v>83</v>
      </c>
      <c r="Y32" s="53">
        <v>0</v>
      </c>
      <c r="Z32" s="53">
        <v>0</v>
      </c>
      <c r="AA32" s="5">
        <v>102</v>
      </c>
      <c r="AC32" s="28"/>
      <c r="AD32" s="28"/>
      <c r="AE32" s="28"/>
      <c r="AF32" s="28"/>
      <c r="AG32" s="28"/>
      <c r="AH32" s="28"/>
      <c r="AI32" s="24">
        <v>45634</v>
      </c>
      <c r="AJ32" s="25" t="s">
        <v>99</v>
      </c>
      <c r="AK32" s="26">
        <v>0.625</v>
      </c>
      <c r="AL32" s="26">
        <v>0</v>
      </c>
      <c r="AM32" s="27">
        <v>11.45</v>
      </c>
    </row>
    <row r="33" spans="2:39" x14ac:dyDescent="0.25">
      <c r="B33" s="2"/>
      <c r="C33" s="8"/>
      <c r="D33" s="3" t="s">
        <v>49</v>
      </c>
      <c r="E33" s="3" t="s">
        <v>50</v>
      </c>
      <c r="F33" s="4">
        <v>0</v>
      </c>
      <c r="G33" s="4">
        <v>483.2</v>
      </c>
      <c r="H33" s="4">
        <v>483.2</v>
      </c>
      <c r="I33" s="19">
        <v>0</v>
      </c>
      <c r="J33" s="21">
        <v>-483.2</v>
      </c>
      <c r="L33" s="28"/>
      <c r="M33" s="28"/>
      <c r="N33" s="67">
        <v>45819</v>
      </c>
      <c r="O33" s="25" t="s">
        <v>93</v>
      </c>
      <c r="P33" s="25" t="s">
        <v>418</v>
      </c>
      <c r="Q33" s="25" t="s">
        <v>98</v>
      </c>
      <c r="R33" s="25" t="s">
        <v>87</v>
      </c>
      <c r="S33" s="24">
        <v>45819</v>
      </c>
      <c r="T33" s="25" t="s">
        <v>83</v>
      </c>
      <c r="U33" s="25" t="s">
        <v>83</v>
      </c>
      <c r="V33" s="25" t="s">
        <v>96</v>
      </c>
      <c r="W33" s="52" t="s">
        <v>83</v>
      </c>
      <c r="X33" s="52" t="s">
        <v>83</v>
      </c>
      <c r="Y33" s="53">
        <v>0</v>
      </c>
      <c r="Z33" s="53">
        <v>0</v>
      </c>
      <c r="AA33" s="5">
        <v>-39</v>
      </c>
      <c r="AC33" s="28"/>
      <c r="AD33" s="28"/>
      <c r="AE33" s="28"/>
      <c r="AF33" s="28"/>
      <c r="AG33" s="28"/>
      <c r="AH33" s="28"/>
      <c r="AI33" s="24">
        <v>45648</v>
      </c>
      <c r="AJ33" s="25" t="s">
        <v>99</v>
      </c>
      <c r="AK33" s="26">
        <v>0.625</v>
      </c>
      <c r="AL33" s="26">
        <v>0</v>
      </c>
      <c r="AM33" s="27">
        <v>19.72</v>
      </c>
    </row>
    <row r="34" spans="2:39" x14ac:dyDescent="0.25">
      <c r="B34" s="2"/>
      <c r="C34" s="8"/>
      <c r="D34" s="3" t="s">
        <v>53</v>
      </c>
      <c r="E34" s="3" t="s">
        <v>54</v>
      </c>
      <c r="F34" s="4">
        <v>0</v>
      </c>
      <c r="G34" s="4">
        <v>142.54</v>
      </c>
      <c r="H34" s="4">
        <v>142.54</v>
      </c>
      <c r="I34" s="19">
        <v>0</v>
      </c>
      <c r="J34" s="21">
        <v>-142.54</v>
      </c>
      <c r="L34" s="28"/>
      <c r="M34" s="28"/>
      <c r="N34" s="69"/>
      <c r="O34" s="23" t="s">
        <v>99</v>
      </c>
      <c r="P34" s="23" t="s">
        <v>419</v>
      </c>
      <c r="Q34" s="23" t="s">
        <v>95</v>
      </c>
      <c r="R34" s="23" t="s">
        <v>87</v>
      </c>
      <c r="S34" s="58">
        <v>45819</v>
      </c>
      <c r="T34" s="23" t="s">
        <v>83</v>
      </c>
      <c r="U34" s="25" t="s">
        <v>101</v>
      </c>
      <c r="V34" s="25" t="s">
        <v>102</v>
      </c>
      <c r="W34" s="52" t="s">
        <v>83</v>
      </c>
      <c r="X34" s="52" t="s">
        <v>83</v>
      </c>
      <c r="Y34" s="53">
        <v>0</v>
      </c>
      <c r="Z34" s="53">
        <v>588.33000000000004</v>
      </c>
      <c r="AA34" s="5">
        <v>0</v>
      </c>
      <c r="AC34" s="28"/>
      <c r="AD34" s="28"/>
      <c r="AE34" s="28"/>
      <c r="AF34" s="28"/>
      <c r="AG34" s="28"/>
      <c r="AH34" s="28"/>
      <c r="AI34" s="24">
        <v>45662</v>
      </c>
      <c r="AJ34" s="25" t="s">
        <v>99</v>
      </c>
      <c r="AK34" s="26">
        <v>0.625</v>
      </c>
      <c r="AL34" s="26">
        <v>0</v>
      </c>
      <c r="AM34" s="27">
        <v>9.6999999999999993</v>
      </c>
    </row>
    <row r="35" spans="2:39" x14ac:dyDescent="0.25">
      <c r="B35" s="2"/>
      <c r="C35" s="9"/>
      <c r="D35" s="3" t="s">
        <v>55</v>
      </c>
      <c r="E35" s="3" t="s">
        <v>56</v>
      </c>
      <c r="F35" s="4">
        <v>0</v>
      </c>
      <c r="G35" s="4">
        <v>0</v>
      </c>
      <c r="H35" s="4">
        <v>0</v>
      </c>
      <c r="I35" s="19">
        <v>0</v>
      </c>
      <c r="J35" s="21">
        <v>0</v>
      </c>
      <c r="L35" s="28"/>
      <c r="M35" s="28"/>
      <c r="N35" s="68"/>
      <c r="O35" s="29"/>
      <c r="P35" s="29"/>
      <c r="Q35" s="29"/>
      <c r="R35" s="29"/>
      <c r="S35" s="59"/>
      <c r="T35" s="29"/>
      <c r="U35" s="25" t="s">
        <v>106</v>
      </c>
      <c r="V35" s="25" t="s">
        <v>102</v>
      </c>
      <c r="W35" s="52" t="s">
        <v>83</v>
      </c>
      <c r="X35" s="52" t="s">
        <v>83</v>
      </c>
      <c r="Y35" s="53">
        <v>0</v>
      </c>
      <c r="Z35" s="53">
        <v>588.33000000000004</v>
      </c>
      <c r="AA35" s="5">
        <v>0</v>
      </c>
      <c r="AC35" s="28"/>
      <c r="AD35" s="28"/>
      <c r="AE35" s="28"/>
      <c r="AF35" s="28"/>
      <c r="AG35" s="28"/>
      <c r="AH35" s="28"/>
      <c r="AI35" s="24">
        <v>45676</v>
      </c>
      <c r="AJ35" s="25" t="s">
        <v>99</v>
      </c>
      <c r="AK35" s="26">
        <v>0.625</v>
      </c>
      <c r="AL35" s="26">
        <v>0</v>
      </c>
      <c r="AM35" s="27">
        <v>3.82</v>
      </c>
    </row>
    <row r="36" spans="2:39" x14ac:dyDescent="0.25">
      <c r="B36" s="2"/>
      <c r="C36" s="8" t="s">
        <v>57</v>
      </c>
      <c r="D36" s="3" t="s">
        <v>58</v>
      </c>
      <c r="E36" s="3" t="s">
        <v>59</v>
      </c>
      <c r="F36" s="4">
        <v>0</v>
      </c>
      <c r="G36" s="4">
        <v>2044.72</v>
      </c>
      <c r="H36" s="4">
        <v>2044.72</v>
      </c>
      <c r="I36" s="19">
        <v>0</v>
      </c>
      <c r="J36" s="21">
        <v>-2044.72</v>
      </c>
      <c r="L36" s="28"/>
      <c r="M36" s="28"/>
      <c r="N36" s="67">
        <v>45833</v>
      </c>
      <c r="O36" s="25" t="s">
        <v>93</v>
      </c>
      <c r="P36" s="25" t="s">
        <v>420</v>
      </c>
      <c r="Q36" s="25" t="s">
        <v>98</v>
      </c>
      <c r="R36" s="25" t="s">
        <v>87</v>
      </c>
      <c r="S36" s="24">
        <v>45833</v>
      </c>
      <c r="T36" s="25" t="s">
        <v>83</v>
      </c>
      <c r="U36" s="25" t="s">
        <v>83</v>
      </c>
      <c r="V36" s="25" t="s">
        <v>96</v>
      </c>
      <c r="W36" s="52" t="s">
        <v>83</v>
      </c>
      <c r="X36" s="52" t="s">
        <v>83</v>
      </c>
      <c r="Y36" s="53">
        <v>0</v>
      </c>
      <c r="Z36" s="53">
        <v>0</v>
      </c>
      <c r="AA36" s="5">
        <v>-39</v>
      </c>
      <c r="AC36" s="28"/>
      <c r="AD36" s="28"/>
      <c r="AE36" s="28"/>
      <c r="AF36" s="28"/>
      <c r="AG36" s="28"/>
      <c r="AH36" s="28"/>
      <c r="AI36" s="24">
        <v>45690</v>
      </c>
      <c r="AJ36" s="25" t="s">
        <v>99</v>
      </c>
      <c r="AK36" s="26">
        <v>0.625</v>
      </c>
      <c r="AL36" s="26">
        <v>0</v>
      </c>
      <c r="AM36" s="27">
        <v>9.41</v>
      </c>
    </row>
    <row r="37" spans="2:39" x14ac:dyDescent="0.25">
      <c r="B37" s="2"/>
      <c r="C37" s="8"/>
      <c r="D37" s="3" t="s">
        <v>60</v>
      </c>
      <c r="E37" s="3" t="s">
        <v>61</v>
      </c>
      <c r="F37" s="4">
        <v>0</v>
      </c>
      <c r="G37" s="4">
        <v>444.47</v>
      </c>
      <c r="H37" s="4">
        <v>444.47</v>
      </c>
      <c r="I37" s="19">
        <v>0</v>
      </c>
      <c r="J37" s="21">
        <v>-444.47</v>
      </c>
      <c r="L37" s="28"/>
      <c r="M37" s="28"/>
      <c r="N37" s="68"/>
      <c r="O37" s="25" t="s">
        <v>99</v>
      </c>
      <c r="P37" s="25" t="s">
        <v>421</v>
      </c>
      <c r="Q37" s="25" t="s">
        <v>95</v>
      </c>
      <c r="R37" s="25" t="s">
        <v>87</v>
      </c>
      <c r="S37" s="24">
        <v>45833</v>
      </c>
      <c r="T37" s="25" t="s">
        <v>83</v>
      </c>
      <c r="U37" s="25" t="s">
        <v>106</v>
      </c>
      <c r="V37" s="25" t="s">
        <v>102</v>
      </c>
      <c r="W37" s="52" t="s">
        <v>83</v>
      </c>
      <c r="X37" s="52" t="s">
        <v>83</v>
      </c>
      <c r="Y37" s="53">
        <v>0</v>
      </c>
      <c r="Z37" s="53">
        <v>1176.6600000000001</v>
      </c>
      <c r="AA37" s="5">
        <v>0</v>
      </c>
      <c r="AC37" s="28"/>
      <c r="AD37" s="28"/>
      <c r="AE37" s="28"/>
      <c r="AF37" s="28"/>
      <c r="AG37" s="28"/>
      <c r="AH37" s="28"/>
      <c r="AI37" s="24">
        <v>45704</v>
      </c>
      <c r="AJ37" s="25" t="s">
        <v>99</v>
      </c>
      <c r="AK37" s="26">
        <v>0.625</v>
      </c>
      <c r="AL37" s="26">
        <v>0</v>
      </c>
      <c r="AM37" s="27">
        <v>16.170000000000002</v>
      </c>
    </row>
    <row r="38" spans="2:39" x14ac:dyDescent="0.25">
      <c r="B38" s="2"/>
      <c r="C38" s="9"/>
      <c r="D38" s="3" t="s">
        <v>62</v>
      </c>
      <c r="E38" s="3" t="s">
        <v>63</v>
      </c>
      <c r="F38" s="4">
        <v>0</v>
      </c>
      <c r="G38" s="4">
        <v>72</v>
      </c>
      <c r="H38" s="4">
        <v>72</v>
      </c>
      <c r="I38" s="19">
        <v>0</v>
      </c>
      <c r="J38" s="21">
        <v>-72</v>
      </c>
      <c r="L38" s="28"/>
      <c r="M38" s="28"/>
      <c r="N38" s="24">
        <v>45847</v>
      </c>
      <c r="O38" s="25" t="s">
        <v>99</v>
      </c>
      <c r="P38" s="25" t="s">
        <v>422</v>
      </c>
      <c r="Q38" s="25" t="s">
        <v>95</v>
      </c>
      <c r="R38" s="25" t="s">
        <v>87</v>
      </c>
      <c r="S38" s="24">
        <v>45847</v>
      </c>
      <c r="T38" s="25" t="s">
        <v>83</v>
      </c>
      <c r="U38" s="25" t="s">
        <v>106</v>
      </c>
      <c r="V38" s="25" t="s">
        <v>102</v>
      </c>
      <c r="W38" s="52" t="s">
        <v>83</v>
      </c>
      <c r="X38" s="52" t="s">
        <v>83</v>
      </c>
      <c r="Y38" s="53">
        <v>0</v>
      </c>
      <c r="Z38" s="53">
        <v>745.22</v>
      </c>
      <c r="AA38" s="5">
        <v>0</v>
      </c>
      <c r="AC38" s="28"/>
      <c r="AD38" s="28"/>
      <c r="AE38" s="28"/>
      <c r="AF38" s="28"/>
      <c r="AG38" s="28"/>
      <c r="AH38" s="28"/>
      <c r="AI38" s="24">
        <v>45718</v>
      </c>
      <c r="AJ38" s="25" t="s">
        <v>99</v>
      </c>
      <c r="AK38" s="26">
        <v>0.625</v>
      </c>
      <c r="AL38" s="26">
        <v>0</v>
      </c>
      <c r="AM38" s="27">
        <v>12.79</v>
      </c>
    </row>
    <row r="39" spans="2:39" x14ac:dyDescent="0.25">
      <c r="B39" s="2"/>
      <c r="C39" s="3" t="s">
        <v>64</v>
      </c>
      <c r="D39" s="3" t="s">
        <v>65</v>
      </c>
      <c r="E39" s="3" t="s">
        <v>66</v>
      </c>
      <c r="F39" s="4">
        <v>0</v>
      </c>
      <c r="G39" s="4">
        <v>13409.23</v>
      </c>
      <c r="H39" s="4">
        <v>13409.23</v>
      </c>
      <c r="I39" s="19">
        <v>0</v>
      </c>
      <c r="J39" s="21">
        <v>-13409.23</v>
      </c>
      <c r="L39" s="29"/>
      <c r="M39" s="29"/>
      <c r="N39" s="24">
        <v>45849</v>
      </c>
      <c r="O39" s="25" t="s">
        <v>93</v>
      </c>
      <c r="P39" s="25" t="s">
        <v>423</v>
      </c>
      <c r="Q39" s="25" t="s">
        <v>98</v>
      </c>
      <c r="R39" s="25" t="s">
        <v>87</v>
      </c>
      <c r="S39" s="24">
        <v>45849</v>
      </c>
      <c r="T39" s="25" t="s">
        <v>83</v>
      </c>
      <c r="U39" s="25" t="s">
        <v>83</v>
      </c>
      <c r="V39" s="25" t="s">
        <v>96</v>
      </c>
      <c r="W39" s="52" t="s">
        <v>83</v>
      </c>
      <c r="X39" s="52" t="s">
        <v>83</v>
      </c>
      <c r="Y39" s="53">
        <v>0</v>
      </c>
      <c r="Z39" s="53">
        <v>0</v>
      </c>
      <c r="AA39" s="5">
        <v>-24</v>
      </c>
      <c r="AC39" s="28"/>
      <c r="AD39" s="28"/>
      <c r="AE39" s="28"/>
      <c r="AF39" s="28"/>
      <c r="AG39" s="28"/>
      <c r="AH39" s="28"/>
      <c r="AI39" s="24">
        <v>45732</v>
      </c>
      <c r="AJ39" s="25" t="s">
        <v>99</v>
      </c>
      <c r="AK39" s="26">
        <v>0.625</v>
      </c>
      <c r="AL39" s="26">
        <v>0</v>
      </c>
      <c r="AM39" s="27">
        <v>12.5</v>
      </c>
    </row>
    <row r="40" spans="2:39" x14ac:dyDescent="0.25">
      <c r="B40" s="11"/>
      <c r="C40" s="6" t="s">
        <v>67</v>
      </c>
      <c r="D40" s="6"/>
      <c r="E40" s="6"/>
      <c r="F40" s="7">
        <v>219462</v>
      </c>
      <c r="G40" s="7">
        <v>153596.44</v>
      </c>
      <c r="H40" s="7">
        <v>153596.44</v>
      </c>
      <c r="I40" s="7">
        <v>280.92</v>
      </c>
      <c r="J40" s="7">
        <v>65584.639999999898</v>
      </c>
      <c r="L40" s="54" t="s">
        <v>425</v>
      </c>
      <c r="M40" s="55"/>
      <c r="N40" s="66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6">
        <v>0</v>
      </c>
      <c r="Z40" s="56">
        <v>3098.54</v>
      </c>
      <c r="AA40" s="57">
        <v>0</v>
      </c>
      <c r="AC40" s="28"/>
      <c r="AD40" s="28"/>
      <c r="AE40" s="28"/>
      <c r="AF40" s="28"/>
      <c r="AG40" s="28"/>
      <c r="AH40" s="28"/>
      <c r="AI40" s="24">
        <v>45746</v>
      </c>
      <c r="AJ40" s="25" t="s">
        <v>99</v>
      </c>
      <c r="AK40" s="26">
        <v>0.625</v>
      </c>
      <c r="AL40" s="26">
        <v>0</v>
      </c>
      <c r="AM40" s="27">
        <v>15.88</v>
      </c>
    </row>
    <row r="41" spans="2:39" x14ac:dyDescent="0.25">
      <c r="B41" s="12" t="s">
        <v>68</v>
      </c>
      <c r="C41" s="12"/>
      <c r="D41" s="12"/>
      <c r="E41" s="12"/>
      <c r="F41" s="13">
        <v>219462</v>
      </c>
      <c r="G41" s="13">
        <v>-65865.56</v>
      </c>
      <c r="H41" s="13">
        <v>-65865.56</v>
      </c>
      <c r="I41" s="13">
        <v>280.92</v>
      </c>
      <c r="J41" s="13">
        <v>285046.64</v>
      </c>
      <c r="L41" s="23" t="s">
        <v>372</v>
      </c>
      <c r="M41" s="23" t="s">
        <v>373</v>
      </c>
      <c r="N41" s="24">
        <v>45525</v>
      </c>
      <c r="O41" s="25" t="s">
        <v>93</v>
      </c>
      <c r="P41" s="25" t="s">
        <v>426</v>
      </c>
      <c r="Q41" s="25" t="s">
        <v>95</v>
      </c>
      <c r="R41" s="25" t="s">
        <v>87</v>
      </c>
      <c r="S41" s="24">
        <v>45525</v>
      </c>
      <c r="T41" s="25" t="s">
        <v>83</v>
      </c>
      <c r="U41" s="25" t="s">
        <v>83</v>
      </c>
      <c r="V41" s="25" t="s">
        <v>96</v>
      </c>
      <c r="W41" s="52" t="s">
        <v>83</v>
      </c>
      <c r="X41" s="52" t="s">
        <v>83</v>
      </c>
      <c r="Y41" s="53">
        <v>0</v>
      </c>
      <c r="Z41" s="53">
        <v>0</v>
      </c>
      <c r="AA41" s="5">
        <v>16385</v>
      </c>
      <c r="AC41" s="28"/>
      <c r="AD41" s="28"/>
      <c r="AE41" s="28"/>
      <c r="AF41" s="28"/>
      <c r="AG41" s="28"/>
      <c r="AH41" s="28"/>
      <c r="AI41" s="24">
        <v>45760</v>
      </c>
      <c r="AJ41" s="25" t="s">
        <v>99</v>
      </c>
      <c r="AK41" s="26">
        <v>0.625</v>
      </c>
      <c r="AL41" s="26">
        <v>0</v>
      </c>
      <c r="AM41" s="27">
        <v>11.47</v>
      </c>
    </row>
    <row r="42" spans="2:39" x14ac:dyDescent="0.25">
      <c r="L42" s="28"/>
      <c r="M42" s="28"/>
      <c r="N42" s="67">
        <v>45539</v>
      </c>
      <c r="O42" s="25" t="s">
        <v>93</v>
      </c>
      <c r="P42" s="25" t="s">
        <v>427</v>
      </c>
      <c r="Q42" s="25" t="s">
        <v>98</v>
      </c>
      <c r="R42" s="25" t="s">
        <v>87</v>
      </c>
      <c r="S42" s="24">
        <v>45539</v>
      </c>
      <c r="T42" s="25" t="s">
        <v>83</v>
      </c>
      <c r="U42" s="25" t="s">
        <v>83</v>
      </c>
      <c r="V42" s="25" t="s">
        <v>96</v>
      </c>
      <c r="W42" s="52" t="s">
        <v>83</v>
      </c>
      <c r="X42" s="52" t="s">
        <v>83</v>
      </c>
      <c r="Y42" s="53">
        <v>0</v>
      </c>
      <c r="Z42" s="53">
        <v>0</v>
      </c>
      <c r="AA42" s="5">
        <v>-725</v>
      </c>
      <c r="AC42" s="28"/>
      <c r="AD42" s="28"/>
      <c r="AE42" s="28"/>
      <c r="AF42" s="28"/>
      <c r="AG42" s="28"/>
      <c r="AH42" s="28"/>
      <c r="AI42" s="24">
        <v>45774</v>
      </c>
      <c r="AJ42" s="25" t="s">
        <v>99</v>
      </c>
      <c r="AK42" s="26">
        <v>0.625</v>
      </c>
      <c r="AL42" s="26">
        <v>0</v>
      </c>
      <c r="AM42" s="27">
        <v>6.76</v>
      </c>
    </row>
    <row r="43" spans="2:39" x14ac:dyDescent="0.25">
      <c r="L43" s="28"/>
      <c r="M43" s="28"/>
      <c r="N43" s="68"/>
      <c r="O43" s="25" t="s">
        <v>99</v>
      </c>
      <c r="P43" s="25" t="s">
        <v>428</v>
      </c>
      <c r="Q43" s="25" t="s">
        <v>95</v>
      </c>
      <c r="R43" s="25" t="s">
        <v>87</v>
      </c>
      <c r="S43" s="24">
        <v>45539</v>
      </c>
      <c r="T43" s="25" t="s">
        <v>83</v>
      </c>
      <c r="U43" s="25" t="s">
        <v>342</v>
      </c>
      <c r="V43" s="25" t="s">
        <v>102</v>
      </c>
      <c r="W43" s="52" t="s">
        <v>83</v>
      </c>
      <c r="X43" s="52" t="s">
        <v>83</v>
      </c>
      <c r="Y43" s="53">
        <v>0</v>
      </c>
      <c r="Z43" s="53">
        <v>696</v>
      </c>
      <c r="AA43" s="5">
        <v>0</v>
      </c>
      <c r="AC43" s="28"/>
      <c r="AD43" s="28"/>
      <c r="AE43" s="28"/>
      <c r="AF43" s="28"/>
      <c r="AG43" s="29"/>
      <c r="AH43" s="29"/>
      <c r="AI43" s="24">
        <v>45788</v>
      </c>
      <c r="AJ43" s="25" t="s">
        <v>99</v>
      </c>
      <c r="AK43" s="26">
        <v>0.625</v>
      </c>
      <c r="AL43" s="26">
        <v>0</v>
      </c>
      <c r="AM43" s="27">
        <v>6.03</v>
      </c>
    </row>
    <row r="44" spans="2:39" x14ac:dyDescent="0.25">
      <c r="L44" s="28"/>
      <c r="M44" s="28"/>
      <c r="N44" s="24">
        <v>45553</v>
      </c>
      <c r="O44" s="25" t="s">
        <v>93</v>
      </c>
      <c r="P44" s="25" t="s">
        <v>429</v>
      </c>
      <c r="Q44" s="25" t="s">
        <v>98</v>
      </c>
      <c r="R44" s="25" t="s">
        <v>87</v>
      </c>
      <c r="S44" s="24">
        <v>45553</v>
      </c>
      <c r="T44" s="25" t="s">
        <v>83</v>
      </c>
      <c r="U44" s="25" t="s">
        <v>83</v>
      </c>
      <c r="V44" s="25" t="s">
        <v>96</v>
      </c>
      <c r="W44" s="52" t="s">
        <v>83</v>
      </c>
      <c r="X44" s="52" t="s">
        <v>83</v>
      </c>
      <c r="Y44" s="53">
        <v>0</v>
      </c>
      <c r="Z44" s="53">
        <v>0</v>
      </c>
      <c r="AA44" s="5">
        <v>-725</v>
      </c>
      <c r="AC44" s="28"/>
      <c r="AD44" s="28"/>
      <c r="AE44" s="29"/>
      <c r="AF44" s="29"/>
      <c r="AG44" s="30" t="s">
        <v>467</v>
      </c>
      <c r="AH44" s="31"/>
      <c r="AI44" s="31"/>
      <c r="AJ44" s="31"/>
      <c r="AK44" s="31"/>
      <c r="AL44" s="32">
        <v>0</v>
      </c>
      <c r="AM44" s="33">
        <v>216.04</v>
      </c>
    </row>
    <row r="45" spans="2:39" x14ac:dyDescent="0.25">
      <c r="L45" s="28"/>
      <c r="M45" s="28"/>
      <c r="N45" s="24">
        <v>45567</v>
      </c>
      <c r="O45" s="25" t="s">
        <v>93</v>
      </c>
      <c r="P45" s="25" t="s">
        <v>430</v>
      </c>
      <c r="Q45" s="25" t="s">
        <v>98</v>
      </c>
      <c r="R45" s="25" t="s">
        <v>87</v>
      </c>
      <c r="S45" s="24">
        <v>45567</v>
      </c>
      <c r="T45" s="25" t="s">
        <v>83</v>
      </c>
      <c r="U45" s="25" t="s">
        <v>83</v>
      </c>
      <c r="V45" s="25" t="s">
        <v>96</v>
      </c>
      <c r="W45" s="52" t="s">
        <v>83</v>
      </c>
      <c r="X45" s="52" t="s">
        <v>83</v>
      </c>
      <c r="Y45" s="53">
        <v>0</v>
      </c>
      <c r="Z45" s="53">
        <v>0</v>
      </c>
      <c r="AA45" s="5">
        <v>-725</v>
      </c>
      <c r="AC45" s="28"/>
      <c r="AD45" s="28"/>
      <c r="AE45" s="23" t="s">
        <v>353</v>
      </c>
      <c r="AF45" s="23" t="s">
        <v>354</v>
      </c>
      <c r="AG45" s="23" t="s">
        <v>20</v>
      </c>
      <c r="AH45" s="23" t="s">
        <v>21</v>
      </c>
      <c r="AI45" s="24">
        <v>45494</v>
      </c>
      <c r="AJ45" s="25" t="s">
        <v>99</v>
      </c>
      <c r="AK45" s="26">
        <v>2.5000000000000001E-2</v>
      </c>
      <c r="AL45" s="26">
        <v>40</v>
      </c>
      <c r="AM45" s="27">
        <v>3216.4</v>
      </c>
    </row>
    <row r="46" spans="2:39" x14ac:dyDescent="0.25">
      <c r="L46" s="28"/>
      <c r="M46" s="28"/>
      <c r="N46" s="67">
        <v>45581</v>
      </c>
      <c r="O46" s="25" t="s">
        <v>93</v>
      </c>
      <c r="P46" s="25" t="s">
        <v>431</v>
      </c>
      <c r="Q46" s="25" t="s">
        <v>98</v>
      </c>
      <c r="R46" s="25" t="s">
        <v>87</v>
      </c>
      <c r="S46" s="24">
        <v>45581</v>
      </c>
      <c r="T46" s="25" t="s">
        <v>83</v>
      </c>
      <c r="U46" s="25" t="s">
        <v>83</v>
      </c>
      <c r="V46" s="25" t="s">
        <v>96</v>
      </c>
      <c r="W46" s="52" t="s">
        <v>83</v>
      </c>
      <c r="X46" s="52" t="s">
        <v>83</v>
      </c>
      <c r="Y46" s="53">
        <v>0</v>
      </c>
      <c r="Z46" s="53">
        <v>0</v>
      </c>
      <c r="AA46" s="5">
        <v>-725</v>
      </c>
      <c r="AC46" s="28"/>
      <c r="AD46" s="28"/>
      <c r="AE46" s="28"/>
      <c r="AF46" s="28"/>
      <c r="AG46" s="28"/>
      <c r="AH46" s="28"/>
      <c r="AI46" s="24">
        <v>45508</v>
      </c>
      <c r="AJ46" s="25" t="s">
        <v>99</v>
      </c>
      <c r="AK46" s="26">
        <v>2.5000000000000001E-2</v>
      </c>
      <c r="AL46" s="26">
        <v>40</v>
      </c>
      <c r="AM46" s="27">
        <v>3216.4</v>
      </c>
    </row>
    <row r="47" spans="2:39" x14ac:dyDescent="0.25">
      <c r="L47" s="28"/>
      <c r="M47" s="28"/>
      <c r="N47" s="69"/>
      <c r="O47" s="23" t="s">
        <v>99</v>
      </c>
      <c r="P47" s="23" t="s">
        <v>432</v>
      </c>
      <c r="Q47" s="23" t="s">
        <v>95</v>
      </c>
      <c r="R47" s="23" t="s">
        <v>87</v>
      </c>
      <c r="S47" s="58">
        <v>45581</v>
      </c>
      <c r="T47" s="23" t="s">
        <v>83</v>
      </c>
      <c r="U47" s="25" t="s">
        <v>433</v>
      </c>
      <c r="V47" s="25" t="s">
        <v>102</v>
      </c>
      <c r="W47" s="52" t="s">
        <v>83</v>
      </c>
      <c r="X47" s="52" t="s">
        <v>83</v>
      </c>
      <c r="Y47" s="53">
        <v>0</v>
      </c>
      <c r="Z47" s="53">
        <v>561.15</v>
      </c>
      <c r="AA47" s="5">
        <v>0</v>
      </c>
      <c r="AC47" s="28"/>
      <c r="AD47" s="28"/>
      <c r="AE47" s="28"/>
      <c r="AF47" s="28"/>
      <c r="AG47" s="28"/>
      <c r="AH47" s="28"/>
      <c r="AI47" s="24">
        <v>45522</v>
      </c>
      <c r="AJ47" s="25" t="s">
        <v>99</v>
      </c>
      <c r="AK47" s="26">
        <v>2.5000000000000001E-2</v>
      </c>
      <c r="AL47" s="26">
        <v>40</v>
      </c>
      <c r="AM47" s="27">
        <v>3216.4</v>
      </c>
    </row>
    <row r="48" spans="2:39" x14ac:dyDescent="0.25">
      <c r="L48" s="28"/>
      <c r="M48" s="28"/>
      <c r="N48" s="68"/>
      <c r="O48" s="29"/>
      <c r="P48" s="29"/>
      <c r="Q48" s="29"/>
      <c r="R48" s="29"/>
      <c r="S48" s="59"/>
      <c r="T48" s="29"/>
      <c r="U48" s="25" t="s">
        <v>434</v>
      </c>
      <c r="V48" s="25" t="s">
        <v>102</v>
      </c>
      <c r="W48" s="52" t="s">
        <v>83</v>
      </c>
      <c r="X48" s="52" t="s">
        <v>83</v>
      </c>
      <c r="Y48" s="53">
        <v>0</v>
      </c>
      <c r="Z48" s="53">
        <v>482.85</v>
      </c>
      <c r="AA48" s="5">
        <v>0</v>
      </c>
      <c r="AC48" s="28"/>
      <c r="AD48" s="28"/>
      <c r="AE48" s="28"/>
      <c r="AF48" s="28"/>
      <c r="AG48" s="28"/>
      <c r="AH48" s="28"/>
      <c r="AI48" s="24">
        <v>45816</v>
      </c>
      <c r="AJ48" s="25" t="s">
        <v>99</v>
      </c>
      <c r="AK48" s="26">
        <v>2.5000000000000001E-2</v>
      </c>
      <c r="AL48" s="26">
        <v>72</v>
      </c>
      <c r="AM48" s="27">
        <v>5789.52</v>
      </c>
    </row>
    <row r="49" spans="12:39" x14ac:dyDescent="0.25">
      <c r="L49" s="28"/>
      <c r="M49" s="28"/>
      <c r="N49" s="24">
        <v>45595</v>
      </c>
      <c r="O49" s="25" t="s">
        <v>99</v>
      </c>
      <c r="P49" s="25" t="s">
        <v>435</v>
      </c>
      <c r="Q49" s="25" t="s">
        <v>95</v>
      </c>
      <c r="R49" s="25" t="s">
        <v>87</v>
      </c>
      <c r="S49" s="24">
        <v>45595</v>
      </c>
      <c r="T49" s="25" t="s">
        <v>83</v>
      </c>
      <c r="U49" s="25" t="s">
        <v>434</v>
      </c>
      <c r="V49" s="25" t="s">
        <v>102</v>
      </c>
      <c r="W49" s="52" t="s">
        <v>83</v>
      </c>
      <c r="X49" s="52" t="s">
        <v>83</v>
      </c>
      <c r="Y49" s="53">
        <v>0</v>
      </c>
      <c r="Z49" s="53">
        <v>790.25</v>
      </c>
      <c r="AA49" s="5">
        <v>0</v>
      </c>
      <c r="AC49" s="28"/>
      <c r="AD49" s="28"/>
      <c r="AE49" s="28"/>
      <c r="AF49" s="28"/>
      <c r="AG49" s="28"/>
      <c r="AH49" s="28"/>
      <c r="AI49" s="24">
        <v>45830</v>
      </c>
      <c r="AJ49" s="25" t="s">
        <v>99</v>
      </c>
      <c r="AK49" s="26">
        <v>2.5000000000000001E-2</v>
      </c>
      <c r="AL49" s="26">
        <v>72</v>
      </c>
      <c r="AM49" s="27">
        <v>5789.52</v>
      </c>
    </row>
    <row r="50" spans="12:39" x14ac:dyDescent="0.25">
      <c r="L50" s="28"/>
      <c r="M50" s="28"/>
      <c r="N50" s="24">
        <v>45597</v>
      </c>
      <c r="O50" s="25" t="s">
        <v>93</v>
      </c>
      <c r="P50" s="25" t="s">
        <v>436</v>
      </c>
      <c r="Q50" s="25" t="s">
        <v>98</v>
      </c>
      <c r="R50" s="25" t="s">
        <v>87</v>
      </c>
      <c r="S50" s="24">
        <v>45597</v>
      </c>
      <c r="T50" s="25" t="s">
        <v>83</v>
      </c>
      <c r="U50" s="25" t="s">
        <v>83</v>
      </c>
      <c r="V50" s="25" t="s">
        <v>96</v>
      </c>
      <c r="W50" s="52" t="s">
        <v>83</v>
      </c>
      <c r="X50" s="52" t="s">
        <v>83</v>
      </c>
      <c r="Y50" s="53">
        <v>0</v>
      </c>
      <c r="Z50" s="53">
        <v>0</v>
      </c>
      <c r="AA50" s="5">
        <v>-725</v>
      </c>
      <c r="AC50" s="28"/>
      <c r="AD50" s="28"/>
      <c r="AE50" s="28"/>
      <c r="AF50" s="28"/>
      <c r="AG50" s="29"/>
      <c r="AH50" s="29"/>
      <c r="AI50" s="24">
        <v>45844</v>
      </c>
      <c r="AJ50" s="25" t="s">
        <v>99</v>
      </c>
      <c r="AK50" s="26">
        <v>2.5000000000000001E-2</v>
      </c>
      <c r="AL50" s="26">
        <v>28</v>
      </c>
      <c r="AM50" s="27">
        <v>2251.48</v>
      </c>
    </row>
    <row r="51" spans="12:39" x14ac:dyDescent="0.25">
      <c r="L51" s="28"/>
      <c r="M51" s="28"/>
      <c r="N51" s="67">
        <v>45609</v>
      </c>
      <c r="O51" s="25" t="s">
        <v>93</v>
      </c>
      <c r="P51" s="25" t="s">
        <v>437</v>
      </c>
      <c r="Q51" s="25" t="s">
        <v>98</v>
      </c>
      <c r="R51" s="25" t="s">
        <v>87</v>
      </c>
      <c r="S51" s="24">
        <v>45609</v>
      </c>
      <c r="T51" s="25" t="s">
        <v>83</v>
      </c>
      <c r="U51" s="25" t="s">
        <v>83</v>
      </c>
      <c r="V51" s="25" t="s">
        <v>96</v>
      </c>
      <c r="W51" s="52" t="s">
        <v>83</v>
      </c>
      <c r="X51" s="52" t="s">
        <v>83</v>
      </c>
      <c r="Y51" s="53">
        <v>0</v>
      </c>
      <c r="Z51" s="53">
        <v>0</v>
      </c>
      <c r="AA51" s="5">
        <v>-725</v>
      </c>
      <c r="AC51" s="28"/>
      <c r="AD51" s="28"/>
      <c r="AE51" s="28"/>
      <c r="AF51" s="28"/>
      <c r="AG51" s="30" t="s">
        <v>109</v>
      </c>
      <c r="AH51" s="31"/>
      <c r="AI51" s="31"/>
      <c r="AJ51" s="31"/>
      <c r="AK51" s="31"/>
      <c r="AL51" s="32">
        <v>292</v>
      </c>
      <c r="AM51" s="33">
        <v>23479.72</v>
      </c>
    </row>
    <row r="52" spans="12:39" x14ac:dyDescent="0.25">
      <c r="L52" s="28"/>
      <c r="M52" s="28"/>
      <c r="N52" s="69"/>
      <c r="O52" s="23" t="s">
        <v>99</v>
      </c>
      <c r="P52" s="23" t="s">
        <v>438</v>
      </c>
      <c r="Q52" s="23" t="s">
        <v>95</v>
      </c>
      <c r="R52" s="23" t="s">
        <v>87</v>
      </c>
      <c r="S52" s="58">
        <v>45609</v>
      </c>
      <c r="T52" s="23" t="s">
        <v>83</v>
      </c>
      <c r="U52" s="25" t="s">
        <v>434</v>
      </c>
      <c r="V52" s="25" t="s">
        <v>102</v>
      </c>
      <c r="W52" s="52" t="s">
        <v>83</v>
      </c>
      <c r="X52" s="52" t="s">
        <v>83</v>
      </c>
      <c r="Y52" s="53">
        <v>0</v>
      </c>
      <c r="Z52" s="53">
        <v>887.4</v>
      </c>
      <c r="AA52" s="5">
        <v>0</v>
      </c>
      <c r="AC52" s="28"/>
      <c r="AD52" s="28"/>
      <c r="AE52" s="28"/>
      <c r="AF52" s="28"/>
      <c r="AG52" s="23" t="s">
        <v>22</v>
      </c>
      <c r="AH52" s="23" t="s">
        <v>23</v>
      </c>
      <c r="AI52" s="24">
        <v>45494</v>
      </c>
      <c r="AJ52" s="25" t="s">
        <v>99</v>
      </c>
      <c r="AK52" s="26">
        <v>2.5000000000000001E-2</v>
      </c>
      <c r="AL52" s="26">
        <v>0</v>
      </c>
      <c r="AM52" s="27">
        <v>1029.25</v>
      </c>
    </row>
    <row r="53" spans="12:39" x14ac:dyDescent="0.25">
      <c r="L53" s="28"/>
      <c r="M53" s="28"/>
      <c r="N53" s="68"/>
      <c r="O53" s="29"/>
      <c r="P53" s="29"/>
      <c r="Q53" s="29"/>
      <c r="R53" s="29"/>
      <c r="S53" s="59"/>
      <c r="T53" s="29"/>
      <c r="U53" s="25" t="s">
        <v>439</v>
      </c>
      <c r="V53" s="25" t="s">
        <v>102</v>
      </c>
      <c r="W53" s="52" t="s">
        <v>83</v>
      </c>
      <c r="X53" s="52" t="s">
        <v>83</v>
      </c>
      <c r="Y53" s="53">
        <v>0</v>
      </c>
      <c r="Z53" s="53">
        <v>156.6</v>
      </c>
      <c r="AA53" s="5">
        <v>0</v>
      </c>
      <c r="AC53" s="28"/>
      <c r="AD53" s="28"/>
      <c r="AE53" s="28"/>
      <c r="AF53" s="28"/>
      <c r="AG53" s="28"/>
      <c r="AH53" s="28"/>
      <c r="AI53" s="24">
        <v>45508</v>
      </c>
      <c r="AJ53" s="25" t="s">
        <v>99</v>
      </c>
      <c r="AK53" s="26">
        <v>2.5000000000000001E-2</v>
      </c>
      <c r="AL53" s="26">
        <v>0</v>
      </c>
      <c r="AM53" s="27">
        <v>1029.25</v>
      </c>
    </row>
    <row r="54" spans="12:39" x14ac:dyDescent="0.25">
      <c r="L54" s="28"/>
      <c r="M54" s="28"/>
      <c r="N54" s="67">
        <v>45621</v>
      </c>
      <c r="O54" s="25" t="s">
        <v>93</v>
      </c>
      <c r="P54" s="25" t="s">
        <v>440</v>
      </c>
      <c r="Q54" s="25" t="s">
        <v>98</v>
      </c>
      <c r="R54" s="25" t="s">
        <v>87</v>
      </c>
      <c r="S54" s="24">
        <v>45621</v>
      </c>
      <c r="T54" s="25" t="s">
        <v>83</v>
      </c>
      <c r="U54" s="25" t="s">
        <v>83</v>
      </c>
      <c r="V54" s="25" t="s">
        <v>96</v>
      </c>
      <c r="W54" s="52" t="s">
        <v>83</v>
      </c>
      <c r="X54" s="52" t="s">
        <v>83</v>
      </c>
      <c r="Y54" s="53">
        <v>0</v>
      </c>
      <c r="Z54" s="53">
        <v>0</v>
      </c>
      <c r="AA54" s="5">
        <v>-725</v>
      </c>
      <c r="AC54" s="28"/>
      <c r="AD54" s="28"/>
      <c r="AE54" s="28"/>
      <c r="AF54" s="28"/>
      <c r="AG54" s="28"/>
      <c r="AH54" s="28"/>
      <c r="AI54" s="24">
        <v>45522</v>
      </c>
      <c r="AJ54" s="25" t="s">
        <v>99</v>
      </c>
      <c r="AK54" s="26">
        <v>2.5000000000000001E-2</v>
      </c>
      <c r="AL54" s="26">
        <v>0</v>
      </c>
      <c r="AM54" s="27">
        <v>1029.25</v>
      </c>
    </row>
    <row r="55" spans="12:39" x14ac:dyDescent="0.25">
      <c r="L55" s="28"/>
      <c r="M55" s="28"/>
      <c r="N55" s="68"/>
      <c r="O55" s="25" t="s">
        <v>99</v>
      </c>
      <c r="P55" s="25" t="s">
        <v>441</v>
      </c>
      <c r="Q55" s="25" t="s">
        <v>95</v>
      </c>
      <c r="R55" s="25" t="s">
        <v>87</v>
      </c>
      <c r="S55" s="24">
        <v>45621</v>
      </c>
      <c r="T55" s="25" t="s">
        <v>83</v>
      </c>
      <c r="U55" s="25" t="s">
        <v>439</v>
      </c>
      <c r="V55" s="25" t="s">
        <v>102</v>
      </c>
      <c r="W55" s="52" t="s">
        <v>83</v>
      </c>
      <c r="X55" s="52" t="s">
        <v>83</v>
      </c>
      <c r="Y55" s="53">
        <v>0</v>
      </c>
      <c r="Z55" s="53">
        <v>166.75</v>
      </c>
      <c r="AA55" s="5">
        <v>0</v>
      </c>
      <c r="AC55" s="28"/>
      <c r="AD55" s="28"/>
      <c r="AE55" s="28"/>
      <c r="AF55" s="28"/>
      <c r="AG55" s="28"/>
      <c r="AH55" s="28"/>
      <c r="AI55" s="24">
        <v>45816</v>
      </c>
      <c r="AJ55" s="25" t="s">
        <v>99</v>
      </c>
      <c r="AK55" s="26">
        <v>2.5000000000000001E-2</v>
      </c>
      <c r="AL55" s="26">
        <v>0</v>
      </c>
      <c r="AM55" s="27">
        <v>1852.65</v>
      </c>
    </row>
    <row r="56" spans="12:39" x14ac:dyDescent="0.25">
      <c r="L56" s="28"/>
      <c r="M56" s="28"/>
      <c r="N56" s="67">
        <v>45637</v>
      </c>
      <c r="O56" s="25" t="s">
        <v>93</v>
      </c>
      <c r="P56" s="25" t="s">
        <v>442</v>
      </c>
      <c r="Q56" s="25" t="s">
        <v>98</v>
      </c>
      <c r="R56" s="25" t="s">
        <v>87</v>
      </c>
      <c r="S56" s="24">
        <v>45637</v>
      </c>
      <c r="T56" s="25" t="s">
        <v>83</v>
      </c>
      <c r="U56" s="25" t="s">
        <v>83</v>
      </c>
      <c r="V56" s="25" t="s">
        <v>96</v>
      </c>
      <c r="W56" s="52" t="s">
        <v>83</v>
      </c>
      <c r="X56" s="52" t="s">
        <v>83</v>
      </c>
      <c r="Y56" s="53">
        <v>0</v>
      </c>
      <c r="Z56" s="53">
        <v>0</v>
      </c>
      <c r="AA56" s="5">
        <v>-725</v>
      </c>
      <c r="AC56" s="28"/>
      <c r="AD56" s="28"/>
      <c r="AE56" s="28"/>
      <c r="AF56" s="28"/>
      <c r="AG56" s="28"/>
      <c r="AH56" s="28"/>
      <c r="AI56" s="24">
        <v>45830</v>
      </c>
      <c r="AJ56" s="25" t="s">
        <v>99</v>
      </c>
      <c r="AK56" s="26">
        <v>2.5000000000000001E-2</v>
      </c>
      <c r="AL56" s="26">
        <v>0</v>
      </c>
      <c r="AM56" s="27">
        <v>1852.65</v>
      </c>
    </row>
    <row r="57" spans="12:39" x14ac:dyDescent="0.25">
      <c r="L57" s="28"/>
      <c r="M57" s="28"/>
      <c r="N57" s="69"/>
      <c r="O57" s="23" t="s">
        <v>99</v>
      </c>
      <c r="P57" s="23" t="s">
        <v>443</v>
      </c>
      <c r="Q57" s="23" t="s">
        <v>95</v>
      </c>
      <c r="R57" s="23" t="s">
        <v>87</v>
      </c>
      <c r="S57" s="58">
        <v>45637</v>
      </c>
      <c r="T57" s="23" t="s">
        <v>83</v>
      </c>
      <c r="U57" s="25" t="s">
        <v>439</v>
      </c>
      <c r="V57" s="25" t="s">
        <v>102</v>
      </c>
      <c r="W57" s="52" t="s">
        <v>83</v>
      </c>
      <c r="X57" s="52" t="s">
        <v>83</v>
      </c>
      <c r="Y57" s="53">
        <v>0</v>
      </c>
      <c r="Z57" s="53">
        <v>467.63</v>
      </c>
      <c r="AA57" s="5">
        <v>0</v>
      </c>
      <c r="AC57" s="28"/>
      <c r="AD57" s="28"/>
      <c r="AE57" s="28"/>
      <c r="AF57" s="28"/>
      <c r="AG57" s="29"/>
      <c r="AH57" s="29"/>
      <c r="AI57" s="24">
        <v>45844</v>
      </c>
      <c r="AJ57" s="25" t="s">
        <v>99</v>
      </c>
      <c r="AK57" s="26">
        <v>2.5000000000000001E-2</v>
      </c>
      <c r="AL57" s="26">
        <v>0</v>
      </c>
      <c r="AM57" s="27">
        <v>720.47</v>
      </c>
    </row>
    <row r="58" spans="12:39" x14ac:dyDescent="0.25">
      <c r="L58" s="28"/>
      <c r="M58" s="28"/>
      <c r="N58" s="68"/>
      <c r="O58" s="29"/>
      <c r="P58" s="29"/>
      <c r="Q58" s="29"/>
      <c r="R58" s="29"/>
      <c r="S58" s="59"/>
      <c r="T58" s="29"/>
      <c r="U58" s="25" t="s">
        <v>444</v>
      </c>
      <c r="V58" s="25" t="s">
        <v>102</v>
      </c>
      <c r="W58" s="52" t="s">
        <v>83</v>
      </c>
      <c r="X58" s="52" t="s">
        <v>83</v>
      </c>
      <c r="Y58" s="53">
        <v>0</v>
      </c>
      <c r="Z58" s="53">
        <v>192.12</v>
      </c>
      <c r="AA58" s="5">
        <v>0</v>
      </c>
      <c r="AC58" s="28"/>
      <c r="AD58" s="28"/>
      <c r="AE58" s="29"/>
      <c r="AF58" s="29"/>
      <c r="AG58" s="30" t="s">
        <v>110</v>
      </c>
      <c r="AH58" s="31"/>
      <c r="AI58" s="31"/>
      <c r="AJ58" s="31"/>
      <c r="AK58" s="31"/>
      <c r="AL58" s="32">
        <v>0</v>
      </c>
      <c r="AM58" s="33">
        <v>7513.52</v>
      </c>
    </row>
    <row r="59" spans="12:39" x14ac:dyDescent="0.25">
      <c r="L59" s="28"/>
      <c r="M59" s="28"/>
      <c r="N59" s="67">
        <v>45646</v>
      </c>
      <c r="O59" s="25" t="s">
        <v>93</v>
      </c>
      <c r="P59" s="25" t="s">
        <v>445</v>
      </c>
      <c r="Q59" s="25" t="s">
        <v>98</v>
      </c>
      <c r="R59" s="25" t="s">
        <v>87</v>
      </c>
      <c r="S59" s="24">
        <v>45646</v>
      </c>
      <c r="T59" s="25" t="s">
        <v>83</v>
      </c>
      <c r="U59" s="25" t="s">
        <v>83</v>
      </c>
      <c r="V59" s="25" t="s">
        <v>96</v>
      </c>
      <c r="W59" s="52" t="s">
        <v>83</v>
      </c>
      <c r="X59" s="52" t="s">
        <v>83</v>
      </c>
      <c r="Y59" s="53">
        <v>0</v>
      </c>
      <c r="Z59" s="53">
        <v>0</v>
      </c>
      <c r="AA59" s="5">
        <v>-725</v>
      </c>
      <c r="AC59" s="28"/>
      <c r="AD59" s="28"/>
      <c r="AE59" s="23" t="s">
        <v>1221</v>
      </c>
      <c r="AF59" s="23" t="s">
        <v>1222</v>
      </c>
      <c r="AG59" s="23" t="s">
        <v>370</v>
      </c>
      <c r="AH59" s="23" t="s">
        <v>371</v>
      </c>
      <c r="AI59" s="24">
        <v>45816</v>
      </c>
      <c r="AJ59" s="25" t="s">
        <v>99</v>
      </c>
      <c r="AK59" s="26">
        <v>2.5000000000000001E-2</v>
      </c>
      <c r="AL59" s="26">
        <v>40.200000000000003</v>
      </c>
      <c r="AM59" s="27">
        <v>1176.6600000000001</v>
      </c>
    </row>
    <row r="60" spans="12:39" x14ac:dyDescent="0.25">
      <c r="L60" s="28"/>
      <c r="M60" s="28"/>
      <c r="N60" s="68"/>
      <c r="O60" s="25" t="s">
        <v>99</v>
      </c>
      <c r="P60" s="25" t="s">
        <v>446</v>
      </c>
      <c r="Q60" s="25" t="s">
        <v>95</v>
      </c>
      <c r="R60" s="25" t="s">
        <v>87</v>
      </c>
      <c r="S60" s="24">
        <v>45646</v>
      </c>
      <c r="T60" s="25" t="s">
        <v>83</v>
      </c>
      <c r="U60" s="25" t="s">
        <v>444</v>
      </c>
      <c r="V60" s="25" t="s">
        <v>102</v>
      </c>
      <c r="W60" s="52" t="s">
        <v>83</v>
      </c>
      <c r="X60" s="52" t="s">
        <v>83</v>
      </c>
      <c r="Y60" s="53">
        <v>0</v>
      </c>
      <c r="Z60" s="53">
        <v>1174.5</v>
      </c>
      <c r="AA60" s="5">
        <v>0</v>
      </c>
      <c r="AC60" s="28"/>
      <c r="AD60" s="28"/>
      <c r="AE60" s="28"/>
      <c r="AF60" s="28"/>
      <c r="AG60" s="28"/>
      <c r="AH60" s="28"/>
      <c r="AI60" s="24">
        <v>45830</v>
      </c>
      <c r="AJ60" s="25" t="s">
        <v>99</v>
      </c>
      <c r="AK60" s="26">
        <v>2.5000000000000001E-2</v>
      </c>
      <c r="AL60" s="26">
        <v>40.200000000000003</v>
      </c>
      <c r="AM60" s="27">
        <v>1176.6600000000001</v>
      </c>
    </row>
    <row r="61" spans="12:39" x14ac:dyDescent="0.25">
      <c r="L61" s="28"/>
      <c r="M61" s="28"/>
      <c r="N61" s="24">
        <v>45649</v>
      </c>
      <c r="O61" s="25" t="s">
        <v>93</v>
      </c>
      <c r="P61" s="25" t="s">
        <v>447</v>
      </c>
      <c r="Q61" s="25" t="s">
        <v>98</v>
      </c>
      <c r="R61" s="25" t="s">
        <v>87</v>
      </c>
      <c r="S61" s="24">
        <v>45649</v>
      </c>
      <c r="T61" s="25" t="s">
        <v>83</v>
      </c>
      <c r="U61" s="25" t="s">
        <v>83</v>
      </c>
      <c r="V61" s="25" t="s">
        <v>96</v>
      </c>
      <c r="W61" s="52" t="s">
        <v>83</v>
      </c>
      <c r="X61" s="52" t="s">
        <v>83</v>
      </c>
      <c r="Y61" s="53">
        <v>0</v>
      </c>
      <c r="Z61" s="53">
        <v>0</v>
      </c>
      <c r="AA61" s="5">
        <v>136</v>
      </c>
      <c r="AC61" s="28"/>
      <c r="AD61" s="28"/>
      <c r="AE61" s="28"/>
      <c r="AF61" s="28"/>
      <c r="AG61" s="29"/>
      <c r="AH61" s="29"/>
      <c r="AI61" s="24">
        <v>45844</v>
      </c>
      <c r="AJ61" s="25" t="s">
        <v>99</v>
      </c>
      <c r="AK61" s="26">
        <v>2.5000000000000001E-2</v>
      </c>
      <c r="AL61" s="26">
        <v>25.46</v>
      </c>
      <c r="AM61" s="27">
        <v>745.22</v>
      </c>
    </row>
    <row r="62" spans="12:39" x14ac:dyDescent="0.25">
      <c r="L62" s="28"/>
      <c r="M62" s="28"/>
      <c r="N62" s="24">
        <v>45665</v>
      </c>
      <c r="O62" s="25" t="s">
        <v>93</v>
      </c>
      <c r="P62" s="25" t="s">
        <v>448</v>
      </c>
      <c r="Q62" s="25" t="s">
        <v>98</v>
      </c>
      <c r="R62" s="25" t="s">
        <v>87</v>
      </c>
      <c r="S62" s="24">
        <v>45665</v>
      </c>
      <c r="T62" s="25" t="s">
        <v>83</v>
      </c>
      <c r="U62" s="25" t="s">
        <v>83</v>
      </c>
      <c r="V62" s="25" t="s">
        <v>96</v>
      </c>
      <c r="W62" s="52" t="s">
        <v>83</v>
      </c>
      <c r="X62" s="52" t="s">
        <v>83</v>
      </c>
      <c r="Y62" s="53">
        <v>0</v>
      </c>
      <c r="Z62" s="53">
        <v>0</v>
      </c>
      <c r="AA62" s="5">
        <v>-735</v>
      </c>
      <c r="AC62" s="28"/>
      <c r="AD62" s="28"/>
      <c r="AE62" s="28"/>
      <c r="AF62" s="28"/>
      <c r="AG62" s="30" t="s">
        <v>425</v>
      </c>
      <c r="AH62" s="31"/>
      <c r="AI62" s="31"/>
      <c r="AJ62" s="31"/>
      <c r="AK62" s="31"/>
      <c r="AL62" s="32">
        <v>105.86</v>
      </c>
      <c r="AM62" s="33">
        <v>3098.54</v>
      </c>
    </row>
    <row r="63" spans="12:39" x14ac:dyDescent="0.25">
      <c r="L63" s="28"/>
      <c r="M63" s="28"/>
      <c r="N63" s="67">
        <v>45679</v>
      </c>
      <c r="O63" s="25" t="s">
        <v>93</v>
      </c>
      <c r="P63" s="25" t="s">
        <v>399</v>
      </c>
      <c r="Q63" s="25" t="s">
        <v>98</v>
      </c>
      <c r="R63" s="25" t="s">
        <v>87</v>
      </c>
      <c r="S63" s="24">
        <v>45679</v>
      </c>
      <c r="T63" s="25" t="s">
        <v>83</v>
      </c>
      <c r="U63" s="25" t="s">
        <v>83</v>
      </c>
      <c r="V63" s="25" t="s">
        <v>96</v>
      </c>
      <c r="W63" s="52" t="s">
        <v>83</v>
      </c>
      <c r="X63" s="52" t="s">
        <v>83</v>
      </c>
      <c r="Y63" s="53">
        <v>0</v>
      </c>
      <c r="Z63" s="53">
        <v>0</v>
      </c>
      <c r="AA63" s="5">
        <v>-735</v>
      </c>
      <c r="AC63" s="28"/>
      <c r="AD63" s="28"/>
      <c r="AE63" s="28"/>
      <c r="AF63" s="28"/>
      <c r="AG63" s="23" t="s">
        <v>376</v>
      </c>
      <c r="AH63" s="23" t="s">
        <v>377</v>
      </c>
      <c r="AI63" s="24">
        <v>45816</v>
      </c>
      <c r="AJ63" s="25" t="s">
        <v>99</v>
      </c>
      <c r="AK63" s="26">
        <v>2.5000000000000001E-2</v>
      </c>
      <c r="AL63" s="26">
        <v>0</v>
      </c>
      <c r="AM63" s="27">
        <v>152.96</v>
      </c>
    </row>
    <row r="64" spans="12:39" x14ac:dyDescent="0.25">
      <c r="L64" s="28"/>
      <c r="M64" s="28"/>
      <c r="N64" s="68"/>
      <c r="O64" s="25" t="s">
        <v>99</v>
      </c>
      <c r="P64" s="25" t="s">
        <v>449</v>
      </c>
      <c r="Q64" s="25" t="s">
        <v>95</v>
      </c>
      <c r="R64" s="25" t="s">
        <v>87</v>
      </c>
      <c r="S64" s="24">
        <v>45679</v>
      </c>
      <c r="T64" s="25" t="s">
        <v>83</v>
      </c>
      <c r="U64" s="25" t="s">
        <v>402</v>
      </c>
      <c r="V64" s="25" t="s">
        <v>102</v>
      </c>
      <c r="W64" s="52" t="s">
        <v>83</v>
      </c>
      <c r="X64" s="52" t="s">
        <v>83</v>
      </c>
      <c r="Y64" s="53">
        <v>0</v>
      </c>
      <c r="Z64" s="53">
        <v>676.2</v>
      </c>
      <c r="AA64" s="5">
        <v>0</v>
      </c>
      <c r="AC64" s="28"/>
      <c r="AD64" s="28"/>
      <c r="AE64" s="28"/>
      <c r="AF64" s="28"/>
      <c r="AG64" s="28"/>
      <c r="AH64" s="28"/>
      <c r="AI64" s="24">
        <v>45830</v>
      </c>
      <c r="AJ64" s="25" t="s">
        <v>99</v>
      </c>
      <c r="AK64" s="26">
        <v>2.5000000000000001E-2</v>
      </c>
      <c r="AL64" s="26">
        <v>0</v>
      </c>
      <c r="AM64" s="27">
        <v>152.96</v>
      </c>
    </row>
    <row r="65" spans="12:39" x14ac:dyDescent="0.25">
      <c r="L65" s="28"/>
      <c r="M65" s="28"/>
      <c r="N65" s="67">
        <v>45693</v>
      </c>
      <c r="O65" s="25" t="s">
        <v>93</v>
      </c>
      <c r="P65" s="25" t="s">
        <v>400</v>
      </c>
      <c r="Q65" s="25" t="s">
        <v>98</v>
      </c>
      <c r="R65" s="25" t="s">
        <v>87</v>
      </c>
      <c r="S65" s="24">
        <v>45693</v>
      </c>
      <c r="T65" s="25" t="s">
        <v>83</v>
      </c>
      <c r="U65" s="25" t="s">
        <v>83</v>
      </c>
      <c r="V65" s="25" t="s">
        <v>96</v>
      </c>
      <c r="W65" s="52" t="s">
        <v>83</v>
      </c>
      <c r="X65" s="52" t="s">
        <v>83</v>
      </c>
      <c r="Y65" s="53">
        <v>0</v>
      </c>
      <c r="Z65" s="53">
        <v>0</v>
      </c>
      <c r="AA65" s="5">
        <v>-735</v>
      </c>
      <c r="AC65" s="28"/>
      <c r="AD65" s="28"/>
      <c r="AE65" s="28"/>
      <c r="AF65" s="28"/>
      <c r="AG65" s="29"/>
      <c r="AH65" s="29"/>
      <c r="AI65" s="24">
        <v>45844</v>
      </c>
      <c r="AJ65" s="25" t="s">
        <v>99</v>
      </c>
      <c r="AK65" s="26">
        <v>2.5000000000000001E-2</v>
      </c>
      <c r="AL65" s="26">
        <v>0</v>
      </c>
      <c r="AM65" s="27">
        <v>96.88</v>
      </c>
    </row>
    <row r="66" spans="12:39" x14ac:dyDescent="0.25">
      <c r="L66" s="28"/>
      <c r="M66" s="28"/>
      <c r="N66" s="68"/>
      <c r="O66" s="25" t="s">
        <v>99</v>
      </c>
      <c r="P66" s="25" t="s">
        <v>401</v>
      </c>
      <c r="Q66" s="25" t="s">
        <v>95</v>
      </c>
      <c r="R66" s="25" t="s">
        <v>87</v>
      </c>
      <c r="S66" s="24">
        <v>45693</v>
      </c>
      <c r="T66" s="25" t="s">
        <v>83</v>
      </c>
      <c r="U66" s="25" t="s">
        <v>402</v>
      </c>
      <c r="V66" s="25" t="s">
        <v>102</v>
      </c>
      <c r="W66" s="52" t="s">
        <v>83</v>
      </c>
      <c r="X66" s="52" t="s">
        <v>83</v>
      </c>
      <c r="Y66" s="53">
        <v>0</v>
      </c>
      <c r="Z66" s="53">
        <v>470.4</v>
      </c>
      <c r="AA66" s="5">
        <v>0</v>
      </c>
      <c r="AC66" s="28"/>
      <c r="AD66" s="28"/>
      <c r="AE66" s="28"/>
      <c r="AF66" s="28"/>
      <c r="AG66" s="30" t="s">
        <v>468</v>
      </c>
      <c r="AH66" s="31"/>
      <c r="AI66" s="31"/>
      <c r="AJ66" s="31"/>
      <c r="AK66" s="31"/>
      <c r="AL66" s="32">
        <v>0</v>
      </c>
      <c r="AM66" s="33">
        <v>402.8</v>
      </c>
    </row>
    <row r="67" spans="12:39" x14ac:dyDescent="0.25">
      <c r="L67" s="28"/>
      <c r="M67" s="28"/>
      <c r="N67" s="67">
        <v>45707</v>
      </c>
      <c r="O67" s="25" t="s">
        <v>93</v>
      </c>
      <c r="P67" s="25" t="s">
        <v>450</v>
      </c>
      <c r="Q67" s="25" t="s">
        <v>98</v>
      </c>
      <c r="R67" s="25" t="s">
        <v>87</v>
      </c>
      <c r="S67" s="24">
        <v>45707</v>
      </c>
      <c r="T67" s="25" t="s">
        <v>83</v>
      </c>
      <c r="U67" s="25" t="s">
        <v>83</v>
      </c>
      <c r="V67" s="25" t="s">
        <v>96</v>
      </c>
      <c r="W67" s="52" t="s">
        <v>83</v>
      </c>
      <c r="X67" s="52" t="s">
        <v>83</v>
      </c>
      <c r="Y67" s="53">
        <v>0</v>
      </c>
      <c r="Z67" s="53">
        <v>0</v>
      </c>
      <c r="AA67" s="5">
        <v>-735</v>
      </c>
      <c r="AC67" s="28"/>
      <c r="AD67" s="28"/>
      <c r="AE67" s="28"/>
      <c r="AF67" s="28"/>
      <c r="AG67" s="23" t="s">
        <v>1223</v>
      </c>
      <c r="AH67" s="23" t="s">
        <v>1224</v>
      </c>
      <c r="AI67" s="24">
        <v>45816</v>
      </c>
      <c r="AJ67" s="25" t="s">
        <v>99</v>
      </c>
      <c r="AK67" s="26">
        <v>2.5000000000000001E-2</v>
      </c>
      <c r="AL67" s="26">
        <v>0</v>
      </c>
      <c r="AM67" s="27">
        <v>0</v>
      </c>
    </row>
    <row r="68" spans="12:39" x14ac:dyDescent="0.25">
      <c r="L68" s="28"/>
      <c r="M68" s="28"/>
      <c r="N68" s="68"/>
      <c r="O68" s="25" t="s">
        <v>99</v>
      </c>
      <c r="P68" s="25" t="s">
        <v>451</v>
      </c>
      <c r="Q68" s="25" t="s">
        <v>95</v>
      </c>
      <c r="R68" s="25" t="s">
        <v>87</v>
      </c>
      <c r="S68" s="24">
        <v>45707</v>
      </c>
      <c r="T68" s="25" t="s">
        <v>83</v>
      </c>
      <c r="U68" s="25" t="s">
        <v>452</v>
      </c>
      <c r="V68" s="25" t="s">
        <v>102</v>
      </c>
      <c r="W68" s="52" t="s">
        <v>83</v>
      </c>
      <c r="X68" s="52" t="s">
        <v>83</v>
      </c>
      <c r="Y68" s="53">
        <v>0</v>
      </c>
      <c r="Z68" s="53">
        <v>808.5</v>
      </c>
      <c r="AA68" s="5">
        <v>0</v>
      </c>
      <c r="AC68" s="28"/>
      <c r="AD68" s="28"/>
      <c r="AE68" s="28"/>
      <c r="AF68" s="28"/>
      <c r="AG68" s="28"/>
      <c r="AH68" s="28"/>
      <c r="AI68" s="24">
        <v>45830</v>
      </c>
      <c r="AJ68" s="25" t="s">
        <v>99</v>
      </c>
      <c r="AK68" s="26">
        <v>2.5000000000000001E-2</v>
      </c>
      <c r="AL68" s="26">
        <v>0</v>
      </c>
      <c r="AM68" s="27">
        <v>0</v>
      </c>
    </row>
    <row r="69" spans="12:39" x14ac:dyDescent="0.25">
      <c r="L69" s="28"/>
      <c r="M69" s="28"/>
      <c r="N69" s="67">
        <v>45721</v>
      </c>
      <c r="O69" s="25" t="s">
        <v>93</v>
      </c>
      <c r="P69" s="25" t="s">
        <v>453</v>
      </c>
      <c r="Q69" s="25" t="s">
        <v>98</v>
      </c>
      <c r="R69" s="25" t="s">
        <v>87</v>
      </c>
      <c r="S69" s="24">
        <v>45721</v>
      </c>
      <c r="T69" s="25" t="s">
        <v>83</v>
      </c>
      <c r="U69" s="25" t="s">
        <v>83</v>
      </c>
      <c r="V69" s="25" t="s">
        <v>96</v>
      </c>
      <c r="W69" s="52" t="s">
        <v>83</v>
      </c>
      <c r="X69" s="52" t="s">
        <v>83</v>
      </c>
      <c r="Y69" s="53">
        <v>0</v>
      </c>
      <c r="Z69" s="53">
        <v>0</v>
      </c>
      <c r="AA69" s="5">
        <v>-735</v>
      </c>
      <c r="AC69" s="28"/>
      <c r="AD69" s="28"/>
      <c r="AE69" s="28"/>
      <c r="AF69" s="28"/>
      <c r="AG69" s="29"/>
      <c r="AH69" s="29"/>
      <c r="AI69" s="24">
        <v>45844</v>
      </c>
      <c r="AJ69" s="25" t="s">
        <v>99</v>
      </c>
      <c r="AK69" s="26">
        <v>2.5000000000000001E-2</v>
      </c>
      <c r="AL69" s="26">
        <v>0</v>
      </c>
      <c r="AM69" s="27">
        <v>0</v>
      </c>
    </row>
    <row r="70" spans="12:39" x14ac:dyDescent="0.25">
      <c r="L70" s="28"/>
      <c r="M70" s="28"/>
      <c r="N70" s="68"/>
      <c r="O70" s="25" t="s">
        <v>99</v>
      </c>
      <c r="P70" s="25" t="s">
        <v>454</v>
      </c>
      <c r="Q70" s="25" t="s">
        <v>95</v>
      </c>
      <c r="R70" s="25" t="s">
        <v>87</v>
      </c>
      <c r="S70" s="24">
        <v>45721</v>
      </c>
      <c r="T70" s="25" t="s">
        <v>83</v>
      </c>
      <c r="U70" s="25" t="s">
        <v>452</v>
      </c>
      <c r="V70" s="25" t="s">
        <v>102</v>
      </c>
      <c r="W70" s="52" t="s">
        <v>83</v>
      </c>
      <c r="X70" s="52" t="s">
        <v>83</v>
      </c>
      <c r="Y70" s="53">
        <v>0</v>
      </c>
      <c r="Z70" s="53">
        <v>639.45000000000005</v>
      </c>
      <c r="AA70" s="5">
        <v>0</v>
      </c>
      <c r="AC70" s="28"/>
      <c r="AD70" s="28"/>
      <c r="AE70" s="28"/>
      <c r="AF70" s="29"/>
      <c r="AG70" s="30" t="s">
        <v>1225</v>
      </c>
      <c r="AH70" s="31"/>
      <c r="AI70" s="31"/>
      <c r="AJ70" s="31"/>
      <c r="AK70" s="31"/>
      <c r="AL70" s="32">
        <v>0</v>
      </c>
      <c r="AM70" s="33">
        <v>0</v>
      </c>
    </row>
    <row r="71" spans="12:39" x14ac:dyDescent="0.25">
      <c r="L71" s="28"/>
      <c r="M71" s="28"/>
      <c r="N71" s="24">
        <v>45735</v>
      </c>
      <c r="O71" s="25" t="s">
        <v>93</v>
      </c>
      <c r="P71" s="25" t="s">
        <v>455</v>
      </c>
      <c r="Q71" s="25" t="s">
        <v>98</v>
      </c>
      <c r="R71" s="25" t="s">
        <v>87</v>
      </c>
      <c r="S71" s="24">
        <v>45735</v>
      </c>
      <c r="T71" s="25" t="s">
        <v>83</v>
      </c>
      <c r="U71" s="25" t="s">
        <v>83</v>
      </c>
      <c r="V71" s="25" t="s">
        <v>96</v>
      </c>
      <c r="W71" s="52" t="s">
        <v>83</v>
      </c>
      <c r="X71" s="52" t="s">
        <v>83</v>
      </c>
      <c r="Y71" s="53">
        <v>0</v>
      </c>
      <c r="Z71" s="53">
        <v>0</v>
      </c>
      <c r="AA71" s="5">
        <v>-735</v>
      </c>
      <c r="AC71" s="28"/>
      <c r="AD71" s="28"/>
      <c r="AE71" s="28"/>
      <c r="AF71" s="23" t="s">
        <v>1226</v>
      </c>
      <c r="AG71" s="23" t="s">
        <v>368</v>
      </c>
      <c r="AH71" s="23" t="s">
        <v>369</v>
      </c>
      <c r="AI71" s="24">
        <v>1</v>
      </c>
      <c r="AJ71" s="25" t="s">
        <v>403</v>
      </c>
      <c r="AK71" s="26">
        <v>0.5</v>
      </c>
      <c r="AL71" s="26">
        <v>0</v>
      </c>
      <c r="AM71" s="27">
        <v>-2341.5</v>
      </c>
    </row>
    <row r="72" spans="12:39" x14ac:dyDescent="0.25">
      <c r="L72" s="28"/>
      <c r="M72" s="28"/>
      <c r="N72" s="67">
        <v>45749</v>
      </c>
      <c r="O72" s="25" t="s">
        <v>93</v>
      </c>
      <c r="P72" s="25" t="s">
        <v>456</v>
      </c>
      <c r="Q72" s="25" t="s">
        <v>98</v>
      </c>
      <c r="R72" s="25" t="s">
        <v>87</v>
      </c>
      <c r="S72" s="24">
        <v>45749</v>
      </c>
      <c r="T72" s="25" t="s">
        <v>83</v>
      </c>
      <c r="U72" s="25" t="s">
        <v>83</v>
      </c>
      <c r="V72" s="25" t="s">
        <v>96</v>
      </c>
      <c r="W72" s="52" t="s">
        <v>83</v>
      </c>
      <c r="X72" s="52" t="s">
        <v>83</v>
      </c>
      <c r="Y72" s="53">
        <v>0</v>
      </c>
      <c r="Z72" s="53">
        <v>0</v>
      </c>
      <c r="AA72" s="5">
        <v>-735</v>
      </c>
      <c r="AC72" s="28"/>
      <c r="AD72" s="28"/>
      <c r="AE72" s="28"/>
      <c r="AF72" s="28"/>
      <c r="AG72" s="28"/>
      <c r="AH72" s="28"/>
      <c r="AI72" s="24">
        <v>45676</v>
      </c>
      <c r="AJ72" s="25" t="s">
        <v>99</v>
      </c>
      <c r="AK72" s="26">
        <v>0.5</v>
      </c>
      <c r="AL72" s="26">
        <v>20</v>
      </c>
      <c r="AM72" s="27">
        <v>1170.75</v>
      </c>
    </row>
    <row r="73" spans="12:39" x14ac:dyDescent="0.25">
      <c r="L73" s="28"/>
      <c r="M73" s="28"/>
      <c r="N73" s="68"/>
      <c r="O73" s="25" t="s">
        <v>99</v>
      </c>
      <c r="P73" s="25" t="s">
        <v>457</v>
      </c>
      <c r="Q73" s="25" t="s">
        <v>95</v>
      </c>
      <c r="R73" s="25" t="s">
        <v>87</v>
      </c>
      <c r="S73" s="24">
        <v>45749</v>
      </c>
      <c r="T73" s="25" t="s">
        <v>83</v>
      </c>
      <c r="U73" s="25" t="s">
        <v>458</v>
      </c>
      <c r="V73" s="25" t="s">
        <v>102</v>
      </c>
      <c r="W73" s="52" t="s">
        <v>83</v>
      </c>
      <c r="X73" s="52" t="s">
        <v>83</v>
      </c>
      <c r="Y73" s="53">
        <v>0</v>
      </c>
      <c r="Z73" s="53">
        <v>1418.55</v>
      </c>
      <c r="AA73" s="5">
        <v>0</v>
      </c>
      <c r="AC73" s="28"/>
      <c r="AD73" s="28"/>
      <c r="AE73" s="28"/>
      <c r="AF73" s="28"/>
      <c r="AG73" s="29"/>
      <c r="AH73" s="29"/>
      <c r="AI73" s="24">
        <v>45690</v>
      </c>
      <c r="AJ73" s="25" t="s">
        <v>99</v>
      </c>
      <c r="AK73" s="26">
        <v>0.5</v>
      </c>
      <c r="AL73" s="26">
        <v>20</v>
      </c>
      <c r="AM73" s="27">
        <v>1170.75</v>
      </c>
    </row>
    <row r="74" spans="12:39" x14ac:dyDescent="0.25">
      <c r="L74" s="28"/>
      <c r="M74" s="28"/>
      <c r="N74" s="24">
        <v>45763</v>
      </c>
      <c r="O74" s="25" t="s">
        <v>93</v>
      </c>
      <c r="P74" s="25" t="s">
        <v>459</v>
      </c>
      <c r="Q74" s="25" t="s">
        <v>98</v>
      </c>
      <c r="R74" s="25" t="s">
        <v>87</v>
      </c>
      <c r="S74" s="24">
        <v>45763</v>
      </c>
      <c r="T74" s="25" t="s">
        <v>83</v>
      </c>
      <c r="U74" s="25" t="s">
        <v>83</v>
      </c>
      <c r="V74" s="25" t="s">
        <v>96</v>
      </c>
      <c r="W74" s="52" t="s">
        <v>83</v>
      </c>
      <c r="X74" s="52" t="s">
        <v>83</v>
      </c>
      <c r="Y74" s="53">
        <v>0</v>
      </c>
      <c r="Z74" s="53">
        <v>0</v>
      </c>
      <c r="AA74" s="5">
        <v>-735</v>
      </c>
      <c r="AC74" s="28"/>
      <c r="AD74" s="28"/>
      <c r="AE74" s="28"/>
      <c r="AF74" s="28"/>
      <c r="AG74" s="30" t="s">
        <v>408</v>
      </c>
      <c r="AH74" s="31"/>
      <c r="AI74" s="31"/>
      <c r="AJ74" s="31"/>
      <c r="AK74" s="31"/>
      <c r="AL74" s="32">
        <v>40</v>
      </c>
      <c r="AM74" s="33">
        <v>0</v>
      </c>
    </row>
    <row r="75" spans="12:39" x14ac:dyDescent="0.25">
      <c r="L75" s="28"/>
      <c r="M75" s="28"/>
      <c r="N75" s="24">
        <v>45777</v>
      </c>
      <c r="O75" s="25" t="s">
        <v>99</v>
      </c>
      <c r="P75" s="25" t="s">
        <v>460</v>
      </c>
      <c r="Q75" s="25" t="s">
        <v>95</v>
      </c>
      <c r="R75" s="25" t="s">
        <v>87</v>
      </c>
      <c r="S75" s="24">
        <v>45777</v>
      </c>
      <c r="T75" s="25" t="s">
        <v>83</v>
      </c>
      <c r="U75" s="25" t="s">
        <v>461</v>
      </c>
      <c r="V75" s="25" t="s">
        <v>102</v>
      </c>
      <c r="W75" s="52" t="s">
        <v>83</v>
      </c>
      <c r="X75" s="52" t="s">
        <v>83</v>
      </c>
      <c r="Y75" s="53">
        <v>0</v>
      </c>
      <c r="Z75" s="53">
        <v>823.2</v>
      </c>
      <c r="AA75" s="5">
        <v>0</v>
      </c>
      <c r="AC75" s="28"/>
      <c r="AD75" s="28"/>
      <c r="AE75" s="28"/>
      <c r="AF75" s="28"/>
      <c r="AG75" s="23" t="s">
        <v>376</v>
      </c>
      <c r="AH75" s="23" t="s">
        <v>377</v>
      </c>
      <c r="AI75" s="24">
        <v>1</v>
      </c>
      <c r="AJ75" s="25" t="s">
        <v>403</v>
      </c>
      <c r="AK75" s="26">
        <v>0.5</v>
      </c>
      <c r="AL75" s="26">
        <v>0</v>
      </c>
      <c r="AM75" s="27">
        <v>-304.39999999999998</v>
      </c>
    </row>
    <row r="76" spans="12:39" x14ac:dyDescent="0.25">
      <c r="L76" s="28"/>
      <c r="M76" s="28"/>
      <c r="N76" s="24">
        <v>45778</v>
      </c>
      <c r="O76" s="25" t="s">
        <v>93</v>
      </c>
      <c r="P76" s="25" t="s">
        <v>462</v>
      </c>
      <c r="Q76" s="25" t="s">
        <v>98</v>
      </c>
      <c r="R76" s="25" t="s">
        <v>87</v>
      </c>
      <c r="S76" s="24">
        <v>45778</v>
      </c>
      <c r="T76" s="25" t="s">
        <v>83</v>
      </c>
      <c r="U76" s="25" t="s">
        <v>83</v>
      </c>
      <c r="V76" s="25" t="s">
        <v>96</v>
      </c>
      <c r="W76" s="52" t="s">
        <v>83</v>
      </c>
      <c r="X76" s="52" t="s">
        <v>83</v>
      </c>
      <c r="Y76" s="53">
        <v>0</v>
      </c>
      <c r="Z76" s="53">
        <v>0</v>
      </c>
      <c r="AA76" s="5">
        <v>-735</v>
      </c>
      <c r="AC76" s="28"/>
      <c r="AD76" s="28"/>
      <c r="AE76" s="28"/>
      <c r="AF76" s="28"/>
      <c r="AG76" s="28"/>
      <c r="AH76" s="28"/>
      <c r="AI76" s="24">
        <v>45676</v>
      </c>
      <c r="AJ76" s="25" t="s">
        <v>99</v>
      </c>
      <c r="AK76" s="26">
        <v>0.5</v>
      </c>
      <c r="AL76" s="26">
        <v>0</v>
      </c>
      <c r="AM76" s="27">
        <v>152.19999999999999</v>
      </c>
    </row>
    <row r="77" spans="12:39" x14ac:dyDescent="0.25">
      <c r="L77" s="28"/>
      <c r="M77" s="28"/>
      <c r="N77" s="24">
        <v>45791</v>
      </c>
      <c r="O77" s="25" t="s">
        <v>93</v>
      </c>
      <c r="P77" s="25" t="s">
        <v>424</v>
      </c>
      <c r="Q77" s="25" t="s">
        <v>98</v>
      </c>
      <c r="R77" s="25" t="s">
        <v>87</v>
      </c>
      <c r="S77" s="24">
        <v>45791</v>
      </c>
      <c r="T77" s="25" t="s">
        <v>83</v>
      </c>
      <c r="U77" s="25" t="s">
        <v>83</v>
      </c>
      <c r="V77" s="25" t="s">
        <v>96</v>
      </c>
      <c r="W77" s="52" t="s">
        <v>83</v>
      </c>
      <c r="X77" s="52" t="s">
        <v>83</v>
      </c>
      <c r="Y77" s="53">
        <v>0</v>
      </c>
      <c r="Z77" s="53">
        <v>0</v>
      </c>
      <c r="AA77" s="5">
        <v>-735</v>
      </c>
      <c r="AC77" s="28"/>
      <c r="AD77" s="28"/>
      <c r="AE77" s="28"/>
      <c r="AF77" s="28"/>
      <c r="AG77" s="29"/>
      <c r="AH77" s="29"/>
      <c r="AI77" s="24">
        <v>45690</v>
      </c>
      <c r="AJ77" s="25" t="s">
        <v>99</v>
      </c>
      <c r="AK77" s="26">
        <v>0.5</v>
      </c>
      <c r="AL77" s="26">
        <v>0</v>
      </c>
      <c r="AM77" s="27">
        <v>152.19999999999999</v>
      </c>
    </row>
    <row r="78" spans="12:39" x14ac:dyDescent="0.25">
      <c r="L78" s="28"/>
      <c r="M78" s="28"/>
      <c r="N78" s="24">
        <v>45793</v>
      </c>
      <c r="O78" s="25" t="s">
        <v>93</v>
      </c>
      <c r="P78" s="25" t="s">
        <v>463</v>
      </c>
      <c r="Q78" s="25" t="s">
        <v>98</v>
      </c>
      <c r="R78" s="25" t="s">
        <v>87</v>
      </c>
      <c r="S78" s="24">
        <v>45793</v>
      </c>
      <c r="T78" s="25" t="s">
        <v>83</v>
      </c>
      <c r="U78" s="25" t="s">
        <v>83</v>
      </c>
      <c r="V78" s="25" t="s">
        <v>96</v>
      </c>
      <c r="W78" s="52" t="s">
        <v>83</v>
      </c>
      <c r="X78" s="52" t="s">
        <v>83</v>
      </c>
      <c r="Y78" s="53">
        <v>0</v>
      </c>
      <c r="Z78" s="53">
        <v>0</v>
      </c>
      <c r="AA78" s="5">
        <v>-2278</v>
      </c>
      <c r="AC78" s="28"/>
      <c r="AD78" s="28"/>
      <c r="AE78" s="28"/>
      <c r="AF78" s="28"/>
      <c r="AG78" s="30" t="s">
        <v>468</v>
      </c>
      <c r="AH78" s="31"/>
      <c r="AI78" s="31"/>
      <c r="AJ78" s="31"/>
      <c r="AK78" s="31"/>
      <c r="AL78" s="32">
        <v>0</v>
      </c>
      <c r="AM78" s="33">
        <v>0</v>
      </c>
    </row>
    <row r="79" spans="12:39" x14ac:dyDescent="0.25">
      <c r="L79" s="28"/>
      <c r="M79" s="28"/>
      <c r="N79" s="67">
        <v>45805</v>
      </c>
      <c r="O79" s="25" t="s">
        <v>93</v>
      </c>
      <c r="P79" s="25" t="s">
        <v>464</v>
      </c>
      <c r="Q79" s="25" t="s">
        <v>98</v>
      </c>
      <c r="R79" s="25" t="s">
        <v>87</v>
      </c>
      <c r="S79" s="24">
        <v>45805</v>
      </c>
      <c r="T79" s="25" t="s">
        <v>83</v>
      </c>
      <c r="U79" s="25" t="s">
        <v>83</v>
      </c>
      <c r="V79" s="25" t="s">
        <v>96</v>
      </c>
      <c r="W79" s="52" t="s">
        <v>83</v>
      </c>
      <c r="X79" s="52" t="s">
        <v>83</v>
      </c>
      <c r="Y79" s="53">
        <v>0</v>
      </c>
      <c r="Z79" s="53">
        <v>0</v>
      </c>
      <c r="AA79" s="5">
        <v>-368</v>
      </c>
      <c r="AC79" s="28"/>
      <c r="AD79" s="28"/>
      <c r="AE79" s="28"/>
      <c r="AF79" s="28"/>
      <c r="AG79" s="23" t="s">
        <v>1223</v>
      </c>
      <c r="AH79" s="23" t="s">
        <v>1224</v>
      </c>
      <c r="AI79" s="24">
        <v>45676</v>
      </c>
      <c r="AJ79" s="25" t="s">
        <v>99</v>
      </c>
      <c r="AK79" s="26">
        <v>0.5</v>
      </c>
      <c r="AL79" s="26">
        <v>0</v>
      </c>
      <c r="AM79" s="27">
        <v>0</v>
      </c>
    </row>
    <row r="80" spans="12:39" x14ac:dyDescent="0.25">
      <c r="L80" s="29"/>
      <c r="M80" s="29"/>
      <c r="N80" s="68"/>
      <c r="O80" s="25" t="s">
        <v>99</v>
      </c>
      <c r="P80" s="25" t="s">
        <v>465</v>
      </c>
      <c r="Q80" s="25" t="s">
        <v>95</v>
      </c>
      <c r="R80" s="25" t="s">
        <v>87</v>
      </c>
      <c r="S80" s="24">
        <v>45805</v>
      </c>
      <c r="T80" s="25" t="s">
        <v>83</v>
      </c>
      <c r="U80" s="25" t="s">
        <v>101</v>
      </c>
      <c r="V80" s="25" t="s">
        <v>102</v>
      </c>
      <c r="W80" s="52" t="s">
        <v>83</v>
      </c>
      <c r="X80" s="52" t="s">
        <v>83</v>
      </c>
      <c r="Y80" s="53">
        <v>0</v>
      </c>
      <c r="Z80" s="53">
        <v>389.55</v>
      </c>
      <c r="AA80" s="5">
        <v>0</v>
      </c>
      <c r="AC80" s="28"/>
      <c r="AD80" s="28"/>
      <c r="AE80" s="28"/>
      <c r="AF80" s="28"/>
      <c r="AG80" s="29"/>
      <c r="AH80" s="29"/>
      <c r="AI80" s="24">
        <v>45690</v>
      </c>
      <c r="AJ80" s="25" t="s">
        <v>99</v>
      </c>
      <c r="AK80" s="26">
        <v>0.5</v>
      </c>
      <c r="AL80" s="26">
        <v>0</v>
      </c>
      <c r="AM80" s="27">
        <v>0</v>
      </c>
    </row>
    <row r="81" spans="12:39" x14ac:dyDescent="0.25">
      <c r="L81" s="54" t="s">
        <v>466</v>
      </c>
      <c r="M81" s="55"/>
      <c r="N81" s="66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6">
        <v>0</v>
      </c>
      <c r="Z81" s="56">
        <v>10801.1</v>
      </c>
      <c r="AA81" s="57">
        <v>0</v>
      </c>
      <c r="AC81" s="28"/>
      <c r="AD81" s="29"/>
      <c r="AE81" s="29"/>
      <c r="AF81" s="29"/>
      <c r="AG81" s="30" t="s">
        <v>1225</v>
      </c>
      <c r="AH81" s="31"/>
      <c r="AI81" s="31"/>
      <c r="AJ81" s="31"/>
      <c r="AK81" s="31"/>
      <c r="AL81" s="32">
        <v>0</v>
      </c>
      <c r="AM81" s="33">
        <v>0</v>
      </c>
    </row>
    <row r="82" spans="12:39" x14ac:dyDescent="0.25">
      <c r="L82" s="23" t="s">
        <v>374</v>
      </c>
      <c r="M82" s="23" t="s">
        <v>375</v>
      </c>
      <c r="N82" s="24">
        <v>45525</v>
      </c>
      <c r="O82" s="25" t="s">
        <v>93</v>
      </c>
      <c r="P82" s="25" t="s">
        <v>426</v>
      </c>
      <c r="Q82" s="25" t="s">
        <v>95</v>
      </c>
      <c r="R82" s="25" t="s">
        <v>87</v>
      </c>
      <c r="S82" s="24">
        <v>45525</v>
      </c>
      <c r="T82" s="25" t="s">
        <v>83</v>
      </c>
      <c r="U82" s="25" t="s">
        <v>83</v>
      </c>
      <c r="V82" s="25" t="s">
        <v>96</v>
      </c>
      <c r="W82" s="52" t="s">
        <v>83</v>
      </c>
      <c r="X82" s="52" t="s">
        <v>83</v>
      </c>
      <c r="Y82" s="53">
        <v>0</v>
      </c>
      <c r="Z82" s="53">
        <v>0</v>
      </c>
      <c r="AA82" s="5">
        <v>327.7</v>
      </c>
      <c r="AC82" s="29"/>
      <c r="AD82" s="34" t="s">
        <v>355</v>
      </c>
      <c r="AE82" s="35"/>
      <c r="AF82" s="35"/>
      <c r="AG82" s="35"/>
      <c r="AH82" s="35"/>
      <c r="AI82" s="35"/>
      <c r="AJ82" s="35"/>
      <c r="AK82" s="35"/>
      <c r="AL82" s="36">
        <v>1177.8599999999999</v>
      </c>
      <c r="AM82" s="37">
        <v>45511.72</v>
      </c>
    </row>
    <row r="83" spans="12:39" x14ac:dyDescent="0.25">
      <c r="L83" s="28"/>
      <c r="M83" s="28"/>
      <c r="N83" s="67">
        <v>45539</v>
      </c>
      <c r="O83" s="25" t="s">
        <v>93</v>
      </c>
      <c r="P83" s="25" t="s">
        <v>427</v>
      </c>
      <c r="Q83" s="25" t="s">
        <v>98</v>
      </c>
      <c r="R83" s="25" t="s">
        <v>87</v>
      </c>
      <c r="S83" s="24">
        <v>45539</v>
      </c>
      <c r="T83" s="25" t="s">
        <v>83</v>
      </c>
      <c r="U83" s="25" t="s">
        <v>83</v>
      </c>
      <c r="V83" s="25" t="s">
        <v>96</v>
      </c>
      <c r="W83" s="52" t="s">
        <v>83</v>
      </c>
      <c r="X83" s="52" t="s">
        <v>83</v>
      </c>
      <c r="Y83" s="53">
        <v>0</v>
      </c>
      <c r="Z83" s="53">
        <v>0</v>
      </c>
      <c r="AA83" s="5">
        <v>-14.5</v>
      </c>
      <c r="AC83" s="38" t="s">
        <v>343</v>
      </c>
      <c r="AD83" s="39"/>
      <c r="AE83" s="39"/>
      <c r="AF83" s="39"/>
      <c r="AG83" s="39"/>
      <c r="AH83" s="39"/>
      <c r="AI83" s="39"/>
      <c r="AJ83" s="39"/>
      <c r="AK83" s="39"/>
      <c r="AL83" s="40">
        <v>1177.8599999999999</v>
      </c>
      <c r="AM83" s="41">
        <v>45511.72</v>
      </c>
    </row>
    <row r="84" spans="12:39" x14ac:dyDescent="0.25">
      <c r="L84" s="28"/>
      <c r="M84" s="28"/>
      <c r="N84" s="68"/>
      <c r="O84" s="25" t="s">
        <v>99</v>
      </c>
      <c r="P84" s="25" t="s">
        <v>428</v>
      </c>
      <c r="Q84" s="25" t="s">
        <v>95</v>
      </c>
      <c r="R84" s="25" t="s">
        <v>87</v>
      </c>
      <c r="S84" s="24">
        <v>45539</v>
      </c>
      <c r="T84" s="25" t="s">
        <v>83</v>
      </c>
      <c r="U84" s="25" t="s">
        <v>342</v>
      </c>
      <c r="V84" s="25" t="s">
        <v>102</v>
      </c>
      <c r="W84" s="52" t="s">
        <v>83</v>
      </c>
      <c r="X84" s="52" t="s">
        <v>83</v>
      </c>
      <c r="Y84" s="53">
        <v>0</v>
      </c>
      <c r="Z84" s="53">
        <v>13.92</v>
      </c>
      <c r="AA84" s="5">
        <v>0</v>
      </c>
      <c r="AC84" s="42" t="s">
        <v>68</v>
      </c>
      <c r="AD84" s="43"/>
      <c r="AE84" s="43"/>
      <c r="AF84" s="43"/>
      <c r="AG84" s="43"/>
      <c r="AH84" s="43"/>
      <c r="AI84" s="43"/>
      <c r="AJ84" s="43"/>
      <c r="AK84" s="43"/>
      <c r="AL84" s="44">
        <v>1177.8599999999999</v>
      </c>
      <c r="AM84" s="45">
        <v>45511.72</v>
      </c>
    </row>
    <row r="85" spans="12:39" x14ac:dyDescent="0.25">
      <c r="L85" s="28"/>
      <c r="M85" s="28"/>
      <c r="N85" s="24">
        <v>45553</v>
      </c>
      <c r="O85" s="25" t="s">
        <v>93</v>
      </c>
      <c r="P85" s="25" t="s">
        <v>429</v>
      </c>
      <c r="Q85" s="25" t="s">
        <v>98</v>
      </c>
      <c r="R85" s="25" t="s">
        <v>87</v>
      </c>
      <c r="S85" s="24">
        <v>45553</v>
      </c>
      <c r="T85" s="25" t="s">
        <v>83</v>
      </c>
      <c r="U85" s="25" t="s">
        <v>83</v>
      </c>
      <c r="V85" s="25" t="s">
        <v>96</v>
      </c>
      <c r="W85" s="52" t="s">
        <v>83</v>
      </c>
      <c r="X85" s="52" t="s">
        <v>83</v>
      </c>
      <c r="Y85" s="53">
        <v>0</v>
      </c>
      <c r="Z85" s="53">
        <v>0</v>
      </c>
      <c r="AA85" s="5">
        <v>-14.5</v>
      </c>
    </row>
    <row r="86" spans="12:39" x14ac:dyDescent="0.25">
      <c r="L86" s="28"/>
      <c r="M86" s="28"/>
      <c r="N86" s="24">
        <v>45567</v>
      </c>
      <c r="O86" s="25" t="s">
        <v>93</v>
      </c>
      <c r="P86" s="25" t="s">
        <v>430</v>
      </c>
      <c r="Q86" s="25" t="s">
        <v>98</v>
      </c>
      <c r="R86" s="25" t="s">
        <v>87</v>
      </c>
      <c r="S86" s="24">
        <v>45567</v>
      </c>
      <c r="T86" s="25" t="s">
        <v>83</v>
      </c>
      <c r="U86" s="25" t="s">
        <v>83</v>
      </c>
      <c r="V86" s="25" t="s">
        <v>96</v>
      </c>
      <c r="W86" s="52" t="s">
        <v>83</v>
      </c>
      <c r="X86" s="52" t="s">
        <v>83</v>
      </c>
      <c r="Y86" s="53">
        <v>0</v>
      </c>
      <c r="Z86" s="53">
        <v>0</v>
      </c>
      <c r="AA86" s="5">
        <v>-14.5</v>
      </c>
    </row>
    <row r="87" spans="12:39" x14ac:dyDescent="0.25">
      <c r="L87" s="28"/>
      <c r="M87" s="28"/>
      <c r="N87" s="67">
        <v>45581</v>
      </c>
      <c r="O87" s="25" t="s">
        <v>93</v>
      </c>
      <c r="P87" s="25" t="s">
        <v>431</v>
      </c>
      <c r="Q87" s="25" t="s">
        <v>98</v>
      </c>
      <c r="R87" s="25" t="s">
        <v>87</v>
      </c>
      <c r="S87" s="24">
        <v>45581</v>
      </c>
      <c r="T87" s="25" t="s">
        <v>83</v>
      </c>
      <c r="U87" s="25" t="s">
        <v>83</v>
      </c>
      <c r="V87" s="25" t="s">
        <v>96</v>
      </c>
      <c r="W87" s="52" t="s">
        <v>83</v>
      </c>
      <c r="X87" s="52" t="s">
        <v>83</v>
      </c>
      <c r="Y87" s="53">
        <v>0</v>
      </c>
      <c r="Z87" s="53">
        <v>0</v>
      </c>
      <c r="AA87" s="5">
        <v>-14.5</v>
      </c>
    </row>
    <row r="88" spans="12:39" x14ac:dyDescent="0.25">
      <c r="L88" s="28"/>
      <c r="M88" s="28"/>
      <c r="N88" s="69"/>
      <c r="O88" s="23" t="s">
        <v>99</v>
      </c>
      <c r="P88" s="23" t="s">
        <v>432</v>
      </c>
      <c r="Q88" s="23" t="s">
        <v>95</v>
      </c>
      <c r="R88" s="23" t="s">
        <v>87</v>
      </c>
      <c r="S88" s="58">
        <v>45581</v>
      </c>
      <c r="T88" s="23" t="s">
        <v>83</v>
      </c>
      <c r="U88" s="25" t="s">
        <v>433</v>
      </c>
      <c r="V88" s="25" t="s">
        <v>102</v>
      </c>
      <c r="W88" s="52" t="s">
        <v>83</v>
      </c>
      <c r="X88" s="52" t="s">
        <v>83</v>
      </c>
      <c r="Y88" s="53">
        <v>0</v>
      </c>
      <c r="Z88" s="53">
        <v>11.22</v>
      </c>
      <c r="AA88" s="5">
        <v>0</v>
      </c>
    </row>
    <row r="89" spans="12:39" x14ac:dyDescent="0.25">
      <c r="L89" s="28"/>
      <c r="M89" s="28"/>
      <c r="N89" s="68"/>
      <c r="O89" s="29"/>
      <c r="P89" s="29"/>
      <c r="Q89" s="29"/>
      <c r="R89" s="29"/>
      <c r="S89" s="59"/>
      <c r="T89" s="29"/>
      <c r="U89" s="25" t="s">
        <v>434</v>
      </c>
      <c r="V89" s="25" t="s">
        <v>102</v>
      </c>
      <c r="W89" s="52" t="s">
        <v>83</v>
      </c>
      <c r="X89" s="52" t="s">
        <v>83</v>
      </c>
      <c r="Y89" s="53">
        <v>0</v>
      </c>
      <c r="Z89" s="53">
        <v>9.66</v>
      </c>
      <c r="AA89" s="5">
        <v>0</v>
      </c>
    </row>
    <row r="90" spans="12:39" x14ac:dyDescent="0.25">
      <c r="L90" s="28"/>
      <c r="M90" s="28"/>
      <c r="N90" s="24">
        <v>45595</v>
      </c>
      <c r="O90" s="25" t="s">
        <v>99</v>
      </c>
      <c r="P90" s="25" t="s">
        <v>435</v>
      </c>
      <c r="Q90" s="25" t="s">
        <v>95</v>
      </c>
      <c r="R90" s="25" t="s">
        <v>87</v>
      </c>
      <c r="S90" s="24">
        <v>45595</v>
      </c>
      <c r="T90" s="25" t="s">
        <v>83</v>
      </c>
      <c r="U90" s="25" t="s">
        <v>434</v>
      </c>
      <c r="V90" s="25" t="s">
        <v>102</v>
      </c>
      <c r="W90" s="52" t="s">
        <v>83</v>
      </c>
      <c r="X90" s="52" t="s">
        <v>83</v>
      </c>
      <c r="Y90" s="53">
        <v>0</v>
      </c>
      <c r="Z90" s="53">
        <v>15.81</v>
      </c>
      <c r="AA90" s="5">
        <v>0</v>
      </c>
    </row>
    <row r="91" spans="12:39" x14ac:dyDescent="0.25">
      <c r="L91" s="28"/>
      <c r="M91" s="28"/>
      <c r="N91" s="24">
        <v>45597</v>
      </c>
      <c r="O91" s="25" t="s">
        <v>93</v>
      </c>
      <c r="P91" s="25" t="s">
        <v>436</v>
      </c>
      <c r="Q91" s="25" t="s">
        <v>98</v>
      </c>
      <c r="R91" s="25" t="s">
        <v>87</v>
      </c>
      <c r="S91" s="24">
        <v>45597</v>
      </c>
      <c r="T91" s="25" t="s">
        <v>83</v>
      </c>
      <c r="U91" s="25" t="s">
        <v>83</v>
      </c>
      <c r="V91" s="25" t="s">
        <v>96</v>
      </c>
      <c r="W91" s="52" t="s">
        <v>83</v>
      </c>
      <c r="X91" s="52" t="s">
        <v>83</v>
      </c>
      <c r="Y91" s="53">
        <v>0</v>
      </c>
      <c r="Z91" s="53">
        <v>0</v>
      </c>
      <c r="AA91" s="5">
        <v>-14.5</v>
      </c>
    </row>
    <row r="92" spans="12:39" x14ac:dyDescent="0.25">
      <c r="L92" s="28"/>
      <c r="M92" s="28"/>
      <c r="N92" s="67">
        <v>45609</v>
      </c>
      <c r="O92" s="25" t="s">
        <v>93</v>
      </c>
      <c r="P92" s="25" t="s">
        <v>437</v>
      </c>
      <c r="Q92" s="25" t="s">
        <v>98</v>
      </c>
      <c r="R92" s="25" t="s">
        <v>87</v>
      </c>
      <c r="S92" s="24">
        <v>45609</v>
      </c>
      <c r="T92" s="25" t="s">
        <v>83</v>
      </c>
      <c r="U92" s="25" t="s">
        <v>83</v>
      </c>
      <c r="V92" s="25" t="s">
        <v>96</v>
      </c>
      <c r="W92" s="52" t="s">
        <v>83</v>
      </c>
      <c r="X92" s="52" t="s">
        <v>83</v>
      </c>
      <c r="Y92" s="53">
        <v>0</v>
      </c>
      <c r="Z92" s="53">
        <v>0</v>
      </c>
      <c r="AA92" s="5">
        <v>-14.5</v>
      </c>
    </row>
    <row r="93" spans="12:39" x14ac:dyDescent="0.25">
      <c r="L93" s="28"/>
      <c r="M93" s="28"/>
      <c r="N93" s="69"/>
      <c r="O93" s="23" t="s">
        <v>99</v>
      </c>
      <c r="P93" s="23" t="s">
        <v>438</v>
      </c>
      <c r="Q93" s="23" t="s">
        <v>95</v>
      </c>
      <c r="R93" s="23" t="s">
        <v>87</v>
      </c>
      <c r="S93" s="58">
        <v>45609</v>
      </c>
      <c r="T93" s="23" t="s">
        <v>83</v>
      </c>
      <c r="U93" s="25" t="s">
        <v>434</v>
      </c>
      <c r="V93" s="25" t="s">
        <v>102</v>
      </c>
      <c r="W93" s="52" t="s">
        <v>83</v>
      </c>
      <c r="X93" s="52" t="s">
        <v>83</v>
      </c>
      <c r="Y93" s="53">
        <v>0</v>
      </c>
      <c r="Z93" s="53">
        <v>17.75</v>
      </c>
      <c r="AA93" s="5">
        <v>0</v>
      </c>
    </row>
    <row r="94" spans="12:39" x14ac:dyDescent="0.25">
      <c r="L94" s="28"/>
      <c r="M94" s="28"/>
      <c r="N94" s="68"/>
      <c r="O94" s="29"/>
      <c r="P94" s="29"/>
      <c r="Q94" s="29"/>
      <c r="R94" s="29"/>
      <c r="S94" s="59"/>
      <c r="T94" s="29"/>
      <c r="U94" s="25" t="s">
        <v>439</v>
      </c>
      <c r="V94" s="25" t="s">
        <v>102</v>
      </c>
      <c r="W94" s="52" t="s">
        <v>83</v>
      </c>
      <c r="X94" s="52" t="s">
        <v>83</v>
      </c>
      <c r="Y94" s="53">
        <v>0</v>
      </c>
      <c r="Z94" s="53">
        <v>3.13</v>
      </c>
      <c r="AA94" s="5">
        <v>0</v>
      </c>
    </row>
    <row r="95" spans="12:39" x14ac:dyDescent="0.25">
      <c r="L95" s="28"/>
      <c r="M95" s="28"/>
      <c r="N95" s="67">
        <v>45621</v>
      </c>
      <c r="O95" s="25" t="s">
        <v>93</v>
      </c>
      <c r="P95" s="25" t="s">
        <v>440</v>
      </c>
      <c r="Q95" s="25" t="s">
        <v>98</v>
      </c>
      <c r="R95" s="25" t="s">
        <v>87</v>
      </c>
      <c r="S95" s="24">
        <v>45621</v>
      </c>
      <c r="T95" s="25" t="s">
        <v>83</v>
      </c>
      <c r="U95" s="25" t="s">
        <v>83</v>
      </c>
      <c r="V95" s="25" t="s">
        <v>96</v>
      </c>
      <c r="W95" s="52" t="s">
        <v>83</v>
      </c>
      <c r="X95" s="52" t="s">
        <v>83</v>
      </c>
      <c r="Y95" s="53">
        <v>0</v>
      </c>
      <c r="Z95" s="53">
        <v>0</v>
      </c>
      <c r="AA95" s="5">
        <v>-14.5</v>
      </c>
    </row>
    <row r="96" spans="12:39" x14ac:dyDescent="0.25">
      <c r="L96" s="28"/>
      <c r="M96" s="28"/>
      <c r="N96" s="68"/>
      <c r="O96" s="25" t="s">
        <v>99</v>
      </c>
      <c r="P96" s="25" t="s">
        <v>441</v>
      </c>
      <c r="Q96" s="25" t="s">
        <v>95</v>
      </c>
      <c r="R96" s="25" t="s">
        <v>87</v>
      </c>
      <c r="S96" s="24">
        <v>45621</v>
      </c>
      <c r="T96" s="25" t="s">
        <v>83</v>
      </c>
      <c r="U96" s="25" t="s">
        <v>439</v>
      </c>
      <c r="V96" s="25" t="s">
        <v>102</v>
      </c>
      <c r="W96" s="52" t="s">
        <v>83</v>
      </c>
      <c r="X96" s="52" t="s">
        <v>83</v>
      </c>
      <c r="Y96" s="53">
        <v>0</v>
      </c>
      <c r="Z96" s="53">
        <v>3.34</v>
      </c>
      <c r="AA96" s="5">
        <v>0</v>
      </c>
    </row>
    <row r="97" spans="12:27" x14ac:dyDescent="0.25">
      <c r="L97" s="28"/>
      <c r="M97" s="28"/>
      <c r="N97" s="67">
        <v>45637</v>
      </c>
      <c r="O97" s="25" t="s">
        <v>93</v>
      </c>
      <c r="P97" s="25" t="s">
        <v>442</v>
      </c>
      <c r="Q97" s="25" t="s">
        <v>98</v>
      </c>
      <c r="R97" s="25" t="s">
        <v>87</v>
      </c>
      <c r="S97" s="24">
        <v>45637</v>
      </c>
      <c r="T97" s="25" t="s">
        <v>83</v>
      </c>
      <c r="U97" s="25" t="s">
        <v>83</v>
      </c>
      <c r="V97" s="25" t="s">
        <v>96</v>
      </c>
      <c r="W97" s="52" t="s">
        <v>83</v>
      </c>
      <c r="X97" s="52" t="s">
        <v>83</v>
      </c>
      <c r="Y97" s="53">
        <v>0</v>
      </c>
      <c r="Z97" s="53">
        <v>0</v>
      </c>
      <c r="AA97" s="5">
        <v>-14.5</v>
      </c>
    </row>
    <row r="98" spans="12:27" x14ac:dyDescent="0.25">
      <c r="L98" s="28"/>
      <c r="M98" s="28"/>
      <c r="N98" s="69"/>
      <c r="O98" s="23" t="s">
        <v>99</v>
      </c>
      <c r="P98" s="23" t="s">
        <v>443</v>
      </c>
      <c r="Q98" s="23" t="s">
        <v>95</v>
      </c>
      <c r="R98" s="23" t="s">
        <v>87</v>
      </c>
      <c r="S98" s="58">
        <v>45637</v>
      </c>
      <c r="T98" s="23" t="s">
        <v>83</v>
      </c>
      <c r="U98" s="25" t="s">
        <v>439</v>
      </c>
      <c r="V98" s="25" t="s">
        <v>102</v>
      </c>
      <c r="W98" s="52" t="s">
        <v>83</v>
      </c>
      <c r="X98" s="52" t="s">
        <v>83</v>
      </c>
      <c r="Y98" s="53">
        <v>0</v>
      </c>
      <c r="Z98" s="53">
        <v>9.35</v>
      </c>
      <c r="AA98" s="5">
        <v>0</v>
      </c>
    </row>
    <row r="99" spans="12:27" x14ac:dyDescent="0.25">
      <c r="L99" s="28"/>
      <c r="M99" s="28"/>
      <c r="N99" s="68"/>
      <c r="O99" s="29"/>
      <c r="P99" s="29"/>
      <c r="Q99" s="29"/>
      <c r="R99" s="29"/>
      <c r="S99" s="59"/>
      <c r="T99" s="29"/>
      <c r="U99" s="25" t="s">
        <v>444</v>
      </c>
      <c r="V99" s="25" t="s">
        <v>102</v>
      </c>
      <c r="W99" s="52" t="s">
        <v>83</v>
      </c>
      <c r="X99" s="52" t="s">
        <v>83</v>
      </c>
      <c r="Y99" s="53">
        <v>0</v>
      </c>
      <c r="Z99" s="53">
        <v>3.84</v>
      </c>
      <c r="AA99" s="5">
        <v>0</v>
      </c>
    </row>
    <row r="100" spans="12:27" x14ac:dyDescent="0.25">
      <c r="L100" s="28"/>
      <c r="M100" s="28"/>
      <c r="N100" s="67">
        <v>45646</v>
      </c>
      <c r="O100" s="25" t="s">
        <v>93</v>
      </c>
      <c r="P100" s="25" t="s">
        <v>445</v>
      </c>
      <c r="Q100" s="25" t="s">
        <v>98</v>
      </c>
      <c r="R100" s="25" t="s">
        <v>87</v>
      </c>
      <c r="S100" s="24">
        <v>45646</v>
      </c>
      <c r="T100" s="25" t="s">
        <v>83</v>
      </c>
      <c r="U100" s="25" t="s">
        <v>83</v>
      </c>
      <c r="V100" s="25" t="s">
        <v>96</v>
      </c>
      <c r="W100" s="52" t="s">
        <v>83</v>
      </c>
      <c r="X100" s="52" t="s">
        <v>83</v>
      </c>
      <c r="Y100" s="53">
        <v>0</v>
      </c>
      <c r="Z100" s="53">
        <v>0</v>
      </c>
      <c r="AA100" s="5">
        <v>-14.5</v>
      </c>
    </row>
    <row r="101" spans="12:27" x14ac:dyDescent="0.25">
      <c r="L101" s="28"/>
      <c r="M101" s="28"/>
      <c r="N101" s="68"/>
      <c r="O101" s="25" t="s">
        <v>99</v>
      </c>
      <c r="P101" s="25" t="s">
        <v>446</v>
      </c>
      <c r="Q101" s="25" t="s">
        <v>95</v>
      </c>
      <c r="R101" s="25" t="s">
        <v>87</v>
      </c>
      <c r="S101" s="24">
        <v>45646</v>
      </c>
      <c r="T101" s="25" t="s">
        <v>83</v>
      </c>
      <c r="U101" s="25" t="s">
        <v>444</v>
      </c>
      <c r="V101" s="25" t="s">
        <v>102</v>
      </c>
      <c r="W101" s="52" t="s">
        <v>83</v>
      </c>
      <c r="X101" s="52" t="s">
        <v>83</v>
      </c>
      <c r="Y101" s="53">
        <v>0</v>
      </c>
      <c r="Z101" s="53">
        <v>23.49</v>
      </c>
      <c r="AA101" s="5">
        <v>0</v>
      </c>
    </row>
    <row r="102" spans="12:27" x14ac:dyDescent="0.25">
      <c r="L102" s="28"/>
      <c r="M102" s="28"/>
      <c r="N102" s="24">
        <v>45649</v>
      </c>
      <c r="O102" s="25" t="s">
        <v>93</v>
      </c>
      <c r="P102" s="25" t="s">
        <v>447</v>
      </c>
      <c r="Q102" s="25" t="s">
        <v>98</v>
      </c>
      <c r="R102" s="25" t="s">
        <v>87</v>
      </c>
      <c r="S102" s="24">
        <v>45649</v>
      </c>
      <c r="T102" s="25" t="s">
        <v>83</v>
      </c>
      <c r="U102" s="25" t="s">
        <v>83</v>
      </c>
      <c r="V102" s="25" t="s">
        <v>96</v>
      </c>
      <c r="W102" s="52" t="s">
        <v>83</v>
      </c>
      <c r="X102" s="52" t="s">
        <v>83</v>
      </c>
      <c r="Y102" s="53">
        <v>0</v>
      </c>
      <c r="Z102" s="53">
        <v>0</v>
      </c>
      <c r="AA102" s="5">
        <v>2.72</v>
      </c>
    </row>
    <row r="103" spans="12:27" x14ac:dyDescent="0.25">
      <c r="L103" s="28"/>
      <c r="M103" s="28"/>
      <c r="N103" s="24">
        <v>45665</v>
      </c>
      <c r="O103" s="25" t="s">
        <v>93</v>
      </c>
      <c r="P103" s="25" t="s">
        <v>448</v>
      </c>
      <c r="Q103" s="25" t="s">
        <v>98</v>
      </c>
      <c r="R103" s="25" t="s">
        <v>87</v>
      </c>
      <c r="S103" s="24">
        <v>45665</v>
      </c>
      <c r="T103" s="25" t="s">
        <v>83</v>
      </c>
      <c r="U103" s="25" t="s">
        <v>83</v>
      </c>
      <c r="V103" s="25" t="s">
        <v>96</v>
      </c>
      <c r="W103" s="52" t="s">
        <v>83</v>
      </c>
      <c r="X103" s="52" t="s">
        <v>83</v>
      </c>
      <c r="Y103" s="53">
        <v>0</v>
      </c>
      <c r="Z103" s="53">
        <v>0</v>
      </c>
      <c r="AA103" s="5">
        <v>-14.7</v>
      </c>
    </row>
    <row r="104" spans="12:27" x14ac:dyDescent="0.25">
      <c r="L104" s="28"/>
      <c r="M104" s="28"/>
      <c r="N104" s="67">
        <v>45679</v>
      </c>
      <c r="O104" s="25" t="s">
        <v>93</v>
      </c>
      <c r="P104" s="25" t="s">
        <v>399</v>
      </c>
      <c r="Q104" s="25" t="s">
        <v>98</v>
      </c>
      <c r="R104" s="25" t="s">
        <v>87</v>
      </c>
      <c r="S104" s="24">
        <v>45679</v>
      </c>
      <c r="T104" s="25" t="s">
        <v>83</v>
      </c>
      <c r="U104" s="25" t="s">
        <v>83</v>
      </c>
      <c r="V104" s="25" t="s">
        <v>96</v>
      </c>
      <c r="W104" s="52" t="s">
        <v>83</v>
      </c>
      <c r="X104" s="52" t="s">
        <v>83</v>
      </c>
      <c r="Y104" s="53">
        <v>0</v>
      </c>
      <c r="Z104" s="53">
        <v>0</v>
      </c>
      <c r="AA104" s="5">
        <v>-14.7</v>
      </c>
    </row>
    <row r="105" spans="12:27" x14ac:dyDescent="0.25">
      <c r="L105" s="28"/>
      <c r="M105" s="28"/>
      <c r="N105" s="68"/>
      <c r="O105" s="25" t="s">
        <v>99</v>
      </c>
      <c r="P105" s="25" t="s">
        <v>449</v>
      </c>
      <c r="Q105" s="25" t="s">
        <v>95</v>
      </c>
      <c r="R105" s="25" t="s">
        <v>87</v>
      </c>
      <c r="S105" s="24">
        <v>45679</v>
      </c>
      <c r="T105" s="25" t="s">
        <v>83</v>
      </c>
      <c r="U105" s="25" t="s">
        <v>402</v>
      </c>
      <c r="V105" s="25" t="s">
        <v>102</v>
      </c>
      <c r="W105" s="52" t="s">
        <v>83</v>
      </c>
      <c r="X105" s="52" t="s">
        <v>83</v>
      </c>
      <c r="Y105" s="53">
        <v>0</v>
      </c>
      <c r="Z105" s="53">
        <v>13.52</v>
      </c>
      <c r="AA105" s="5">
        <v>0</v>
      </c>
    </row>
    <row r="106" spans="12:27" x14ac:dyDescent="0.25">
      <c r="L106" s="28"/>
      <c r="M106" s="28"/>
      <c r="N106" s="67">
        <v>45693</v>
      </c>
      <c r="O106" s="25" t="s">
        <v>93</v>
      </c>
      <c r="P106" s="25" t="s">
        <v>400</v>
      </c>
      <c r="Q106" s="25" t="s">
        <v>98</v>
      </c>
      <c r="R106" s="25" t="s">
        <v>87</v>
      </c>
      <c r="S106" s="24">
        <v>45693</v>
      </c>
      <c r="T106" s="25" t="s">
        <v>83</v>
      </c>
      <c r="U106" s="25" t="s">
        <v>83</v>
      </c>
      <c r="V106" s="25" t="s">
        <v>96</v>
      </c>
      <c r="W106" s="52" t="s">
        <v>83</v>
      </c>
      <c r="X106" s="52" t="s">
        <v>83</v>
      </c>
      <c r="Y106" s="53">
        <v>0</v>
      </c>
      <c r="Z106" s="53">
        <v>0</v>
      </c>
      <c r="AA106" s="5">
        <v>-14.7</v>
      </c>
    </row>
    <row r="107" spans="12:27" x14ac:dyDescent="0.25">
      <c r="L107" s="28"/>
      <c r="M107" s="28"/>
      <c r="N107" s="68"/>
      <c r="O107" s="25" t="s">
        <v>99</v>
      </c>
      <c r="P107" s="25" t="s">
        <v>401</v>
      </c>
      <c r="Q107" s="25" t="s">
        <v>95</v>
      </c>
      <c r="R107" s="25" t="s">
        <v>87</v>
      </c>
      <c r="S107" s="24">
        <v>45693</v>
      </c>
      <c r="T107" s="25" t="s">
        <v>83</v>
      </c>
      <c r="U107" s="25" t="s">
        <v>402</v>
      </c>
      <c r="V107" s="25" t="s">
        <v>102</v>
      </c>
      <c r="W107" s="52" t="s">
        <v>83</v>
      </c>
      <c r="X107" s="52" t="s">
        <v>83</v>
      </c>
      <c r="Y107" s="53">
        <v>0</v>
      </c>
      <c r="Z107" s="53">
        <v>9.41</v>
      </c>
      <c r="AA107" s="5">
        <v>0</v>
      </c>
    </row>
    <row r="108" spans="12:27" x14ac:dyDescent="0.25">
      <c r="L108" s="28"/>
      <c r="M108" s="28"/>
      <c r="N108" s="67">
        <v>45707</v>
      </c>
      <c r="O108" s="25" t="s">
        <v>93</v>
      </c>
      <c r="P108" s="25" t="s">
        <v>450</v>
      </c>
      <c r="Q108" s="25" t="s">
        <v>98</v>
      </c>
      <c r="R108" s="25" t="s">
        <v>87</v>
      </c>
      <c r="S108" s="24">
        <v>45707</v>
      </c>
      <c r="T108" s="25" t="s">
        <v>83</v>
      </c>
      <c r="U108" s="25" t="s">
        <v>83</v>
      </c>
      <c r="V108" s="25" t="s">
        <v>96</v>
      </c>
      <c r="W108" s="52" t="s">
        <v>83</v>
      </c>
      <c r="X108" s="52" t="s">
        <v>83</v>
      </c>
      <c r="Y108" s="53">
        <v>0</v>
      </c>
      <c r="Z108" s="53">
        <v>0</v>
      </c>
      <c r="AA108" s="5">
        <v>-14.7</v>
      </c>
    </row>
    <row r="109" spans="12:27" x14ac:dyDescent="0.25">
      <c r="L109" s="28"/>
      <c r="M109" s="28"/>
      <c r="N109" s="68"/>
      <c r="O109" s="25" t="s">
        <v>99</v>
      </c>
      <c r="P109" s="25" t="s">
        <v>451</v>
      </c>
      <c r="Q109" s="25" t="s">
        <v>95</v>
      </c>
      <c r="R109" s="25" t="s">
        <v>87</v>
      </c>
      <c r="S109" s="24">
        <v>45707</v>
      </c>
      <c r="T109" s="25" t="s">
        <v>83</v>
      </c>
      <c r="U109" s="25" t="s">
        <v>452</v>
      </c>
      <c r="V109" s="25" t="s">
        <v>102</v>
      </c>
      <c r="W109" s="52" t="s">
        <v>83</v>
      </c>
      <c r="X109" s="52" t="s">
        <v>83</v>
      </c>
      <c r="Y109" s="53">
        <v>0</v>
      </c>
      <c r="Z109" s="53">
        <v>16.170000000000002</v>
      </c>
      <c r="AA109" s="5">
        <v>0</v>
      </c>
    </row>
    <row r="110" spans="12:27" x14ac:dyDescent="0.25">
      <c r="L110" s="28"/>
      <c r="M110" s="28"/>
      <c r="N110" s="67">
        <v>45721</v>
      </c>
      <c r="O110" s="25" t="s">
        <v>93</v>
      </c>
      <c r="P110" s="25" t="s">
        <v>453</v>
      </c>
      <c r="Q110" s="25" t="s">
        <v>98</v>
      </c>
      <c r="R110" s="25" t="s">
        <v>87</v>
      </c>
      <c r="S110" s="24">
        <v>45721</v>
      </c>
      <c r="T110" s="25" t="s">
        <v>83</v>
      </c>
      <c r="U110" s="25" t="s">
        <v>83</v>
      </c>
      <c r="V110" s="25" t="s">
        <v>96</v>
      </c>
      <c r="W110" s="52" t="s">
        <v>83</v>
      </c>
      <c r="X110" s="52" t="s">
        <v>83</v>
      </c>
      <c r="Y110" s="53">
        <v>0</v>
      </c>
      <c r="Z110" s="53">
        <v>0</v>
      </c>
      <c r="AA110" s="5">
        <v>-14.7</v>
      </c>
    </row>
    <row r="111" spans="12:27" x14ac:dyDescent="0.25">
      <c r="L111" s="28"/>
      <c r="M111" s="28"/>
      <c r="N111" s="68"/>
      <c r="O111" s="25" t="s">
        <v>99</v>
      </c>
      <c r="P111" s="25" t="s">
        <v>454</v>
      </c>
      <c r="Q111" s="25" t="s">
        <v>95</v>
      </c>
      <c r="R111" s="25" t="s">
        <v>87</v>
      </c>
      <c r="S111" s="24">
        <v>45721</v>
      </c>
      <c r="T111" s="25" t="s">
        <v>83</v>
      </c>
      <c r="U111" s="25" t="s">
        <v>452</v>
      </c>
      <c r="V111" s="25" t="s">
        <v>102</v>
      </c>
      <c r="W111" s="52" t="s">
        <v>83</v>
      </c>
      <c r="X111" s="52" t="s">
        <v>83</v>
      </c>
      <c r="Y111" s="53">
        <v>0</v>
      </c>
      <c r="Z111" s="53">
        <v>12.79</v>
      </c>
      <c r="AA111" s="5">
        <v>0</v>
      </c>
    </row>
    <row r="112" spans="12:27" x14ac:dyDescent="0.25">
      <c r="L112" s="28"/>
      <c r="M112" s="28"/>
      <c r="N112" s="24">
        <v>45735</v>
      </c>
      <c r="O112" s="25" t="s">
        <v>93</v>
      </c>
      <c r="P112" s="25" t="s">
        <v>455</v>
      </c>
      <c r="Q112" s="25" t="s">
        <v>98</v>
      </c>
      <c r="R112" s="25" t="s">
        <v>87</v>
      </c>
      <c r="S112" s="24">
        <v>45735</v>
      </c>
      <c r="T112" s="25" t="s">
        <v>83</v>
      </c>
      <c r="U112" s="25" t="s">
        <v>83</v>
      </c>
      <c r="V112" s="25" t="s">
        <v>96</v>
      </c>
      <c r="W112" s="52" t="s">
        <v>83</v>
      </c>
      <c r="X112" s="52" t="s">
        <v>83</v>
      </c>
      <c r="Y112" s="53">
        <v>0</v>
      </c>
      <c r="Z112" s="53">
        <v>0</v>
      </c>
      <c r="AA112" s="5">
        <v>-14.7</v>
      </c>
    </row>
    <row r="113" spans="12:27" x14ac:dyDescent="0.25">
      <c r="L113" s="28"/>
      <c r="M113" s="28"/>
      <c r="N113" s="67">
        <v>45749</v>
      </c>
      <c r="O113" s="25" t="s">
        <v>93</v>
      </c>
      <c r="P113" s="25" t="s">
        <v>456</v>
      </c>
      <c r="Q113" s="25" t="s">
        <v>98</v>
      </c>
      <c r="R113" s="25" t="s">
        <v>87</v>
      </c>
      <c r="S113" s="24">
        <v>45749</v>
      </c>
      <c r="T113" s="25" t="s">
        <v>83</v>
      </c>
      <c r="U113" s="25" t="s">
        <v>83</v>
      </c>
      <c r="V113" s="25" t="s">
        <v>96</v>
      </c>
      <c r="W113" s="52" t="s">
        <v>83</v>
      </c>
      <c r="X113" s="52" t="s">
        <v>83</v>
      </c>
      <c r="Y113" s="53">
        <v>0</v>
      </c>
      <c r="Z113" s="53">
        <v>0</v>
      </c>
      <c r="AA113" s="5">
        <v>-14.7</v>
      </c>
    </row>
    <row r="114" spans="12:27" x14ac:dyDescent="0.25">
      <c r="L114" s="28"/>
      <c r="M114" s="28"/>
      <c r="N114" s="68"/>
      <c r="O114" s="25" t="s">
        <v>99</v>
      </c>
      <c r="P114" s="25" t="s">
        <v>457</v>
      </c>
      <c r="Q114" s="25" t="s">
        <v>95</v>
      </c>
      <c r="R114" s="25" t="s">
        <v>87</v>
      </c>
      <c r="S114" s="24">
        <v>45749</v>
      </c>
      <c r="T114" s="25" t="s">
        <v>83</v>
      </c>
      <c r="U114" s="25" t="s">
        <v>458</v>
      </c>
      <c r="V114" s="25" t="s">
        <v>102</v>
      </c>
      <c r="W114" s="52" t="s">
        <v>83</v>
      </c>
      <c r="X114" s="52" t="s">
        <v>83</v>
      </c>
      <c r="Y114" s="53">
        <v>0</v>
      </c>
      <c r="Z114" s="53">
        <v>28.38</v>
      </c>
      <c r="AA114" s="5">
        <v>0</v>
      </c>
    </row>
    <row r="115" spans="12:27" x14ac:dyDescent="0.25">
      <c r="L115" s="28"/>
      <c r="M115" s="28"/>
      <c r="N115" s="24">
        <v>45763</v>
      </c>
      <c r="O115" s="25" t="s">
        <v>93</v>
      </c>
      <c r="P115" s="25" t="s">
        <v>459</v>
      </c>
      <c r="Q115" s="25" t="s">
        <v>98</v>
      </c>
      <c r="R115" s="25" t="s">
        <v>87</v>
      </c>
      <c r="S115" s="24">
        <v>45763</v>
      </c>
      <c r="T115" s="25" t="s">
        <v>83</v>
      </c>
      <c r="U115" s="25" t="s">
        <v>83</v>
      </c>
      <c r="V115" s="25" t="s">
        <v>96</v>
      </c>
      <c r="W115" s="52" t="s">
        <v>83</v>
      </c>
      <c r="X115" s="52" t="s">
        <v>83</v>
      </c>
      <c r="Y115" s="53">
        <v>0</v>
      </c>
      <c r="Z115" s="53">
        <v>0</v>
      </c>
      <c r="AA115" s="5">
        <v>-14.7</v>
      </c>
    </row>
    <row r="116" spans="12:27" x14ac:dyDescent="0.25">
      <c r="L116" s="28"/>
      <c r="M116" s="28"/>
      <c r="N116" s="24">
        <v>45777</v>
      </c>
      <c r="O116" s="25" t="s">
        <v>99</v>
      </c>
      <c r="P116" s="25" t="s">
        <v>460</v>
      </c>
      <c r="Q116" s="25" t="s">
        <v>95</v>
      </c>
      <c r="R116" s="25" t="s">
        <v>87</v>
      </c>
      <c r="S116" s="24">
        <v>45777</v>
      </c>
      <c r="T116" s="25" t="s">
        <v>83</v>
      </c>
      <c r="U116" s="25" t="s">
        <v>461</v>
      </c>
      <c r="V116" s="25" t="s">
        <v>102</v>
      </c>
      <c r="W116" s="52" t="s">
        <v>83</v>
      </c>
      <c r="X116" s="52" t="s">
        <v>83</v>
      </c>
      <c r="Y116" s="53">
        <v>0</v>
      </c>
      <c r="Z116" s="53">
        <v>16.47</v>
      </c>
      <c r="AA116" s="5">
        <v>0</v>
      </c>
    </row>
    <row r="117" spans="12:27" x14ac:dyDescent="0.25">
      <c r="L117" s="28"/>
      <c r="M117" s="28"/>
      <c r="N117" s="24">
        <v>45778</v>
      </c>
      <c r="O117" s="25" t="s">
        <v>93</v>
      </c>
      <c r="P117" s="25" t="s">
        <v>462</v>
      </c>
      <c r="Q117" s="25" t="s">
        <v>98</v>
      </c>
      <c r="R117" s="25" t="s">
        <v>87</v>
      </c>
      <c r="S117" s="24">
        <v>45778</v>
      </c>
      <c r="T117" s="25" t="s">
        <v>83</v>
      </c>
      <c r="U117" s="25" t="s">
        <v>83</v>
      </c>
      <c r="V117" s="25" t="s">
        <v>96</v>
      </c>
      <c r="W117" s="52" t="s">
        <v>83</v>
      </c>
      <c r="X117" s="52" t="s">
        <v>83</v>
      </c>
      <c r="Y117" s="53">
        <v>0</v>
      </c>
      <c r="Z117" s="53">
        <v>0</v>
      </c>
      <c r="AA117" s="5">
        <v>-14.7</v>
      </c>
    </row>
    <row r="118" spans="12:27" x14ac:dyDescent="0.25">
      <c r="L118" s="28"/>
      <c r="M118" s="28"/>
      <c r="N118" s="24">
        <v>45791</v>
      </c>
      <c r="O118" s="25" t="s">
        <v>93</v>
      </c>
      <c r="P118" s="25" t="s">
        <v>424</v>
      </c>
      <c r="Q118" s="25" t="s">
        <v>98</v>
      </c>
      <c r="R118" s="25" t="s">
        <v>87</v>
      </c>
      <c r="S118" s="24">
        <v>45791</v>
      </c>
      <c r="T118" s="25" t="s">
        <v>83</v>
      </c>
      <c r="U118" s="25" t="s">
        <v>83</v>
      </c>
      <c r="V118" s="25" t="s">
        <v>96</v>
      </c>
      <c r="W118" s="52" t="s">
        <v>83</v>
      </c>
      <c r="X118" s="52" t="s">
        <v>83</v>
      </c>
      <c r="Y118" s="53">
        <v>0</v>
      </c>
      <c r="Z118" s="53">
        <v>0</v>
      </c>
      <c r="AA118" s="5">
        <v>-14.7</v>
      </c>
    </row>
    <row r="119" spans="12:27" x14ac:dyDescent="0.25">
      <c r="L119" s="28"/>
      <c r="M119" s="28"/>
      <c r="N119" s="24">
        <v>45793</v>
      </c>
      <c r="O119" s="25" t="s">
        <v>93</v>
      </c>
      <c r="P119" s="25" t="s">
        <v>463</v>
      </c>
      <c r="Q119" s="25" t="s">
        <v>98</v>
      </c>
      <c r="R119" s="25" t="s">
        <v>87</v>
      </c>
      <c r="S119" s="24">
        <v>45793</v>
      </c>
      <c r="T119" s="25" t="s">
        <v>83</v>
      </c>
      <c r="U119" s="25" t="s">
        <v>83</v>
      </c>
      <c r="V119" s="25" t="s">
        <v>96</v>
      </c>
      <c r="W119" s="52" t="s">
        <v>83</v>
      </c>
      <c r="X119" s="52" t="s">
        <v>83</v>
      </c>
      <c r="Y119" s="53">
        <v>0</v>
      </c>
      <c r="Z119" s="53">
        <v>0</v>
      </c>
      <c r="AA119" s="5">
        <v>-45.56</v>
      </c>
    </row>
    <row r="120" spans="12:27" x14ac:dyDescent="0.25">
      <c r="L120" s="28"/>
      <c r="M120" s="28"/>
      <c r="N120" s="67">
        <v>45805</v>
      </c>
      <c r="O120" s="25" t="s">
        <v>93</v>
      </c>
      <c r="P120" s="25" t="s">
        <v>464</v>
      </c>
      <c r="Q120" s="25" t="s">
        <v>98</v>
      </c>
      <c r="R120" s="25" t="s">
        <v>87</v>
      </c>
      <c r="S120" s="24">
        <v>45805</v>
      </c>
      <c r="T120" s="25" t="s">
        <v>83</v>
      </c>
      <c r="U120" s="25" t="s">
        <v>83</v>
      </c>
      <c r="V120" s="25" t="s">
        <v>96</v>
      </c>
      <c r="W120" s="52" t="s">
        <v>83</v>
      </c>
      <c r="X120" s="52" t="s">
        <v>83</v>
      </c>
      <c r="Y120" s="53">
        <v>0</v>
      </c>
      <c r="Z120" s="53">
        <v>0</v>
      </c>
      <c r="AA120" s="5">
        <v>-7.36</v>
      </c>
    </row>
    <row r="121" spans="12:27" x14ac:dyDescent="0.25">
      <c r="L121" s="29"/>
      <c r="M121" s="29"/>
      <c r="N121" s="68"/>
      <c r="O121" s="25" t="s">
        <v>99</v>
      </c>
      <c r="P121" s="25" t="s">
        <v>465</v>
      </c>
      <c r="Q121" s="25" t="s">
        <v>95</v>
      </c>
      <c r="R121" s="25" t="s">
        <v>87</v>
      </c>
      <c r="S121" s="24">
        <v>45805</v>
      </c>
      <c r="T121" s="25" t="s">
        <v>83</v>
      </c>
      <c r="U121" s="25" t="s">
        <v>101</v>
      </c>
      <c r="V121" s="25" t="s">
        <v>102</v>
      </c>
      <c r="W121" s="52" t="s">
        <v>83</v>
      </c>
      <c r="X121" s="52" t="s">
        <v>83</v>
      </c>
      <c r="Y121" s="53">
        <v>0</v>
      </c>
      <c r="Z121" s="53">
        <v>7.79</v>
      </c>
      <c r="AA121" s="5">
        <v>0</v>
      </c>
    </row>
    <row r="122" spans="12:27" x14ac:dyDescent="0.25">
      <c r="L122" s="54" t="s">
        <v>467</v>
      </c>
      <c r="M122" s="55"/>
      <c r="N122" s="66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6">
        <v>0</v>
      </c>
      <c r="Z122" s="56">
        <v>216.04</v>
      </c>
      <c r="AA122" s="57">
        <v>5.6843418860808002E-14</v>
      </c>
    </row>
    <row r="123" spans="12:27" x14ac:dyDescent="0.25">
      <c r="L123" s="23" t="s">
        <v>376</v>
      </c>
      <c r="M123" s="23" t="s">
        <v>377</v>
      </c>
      <c r="N123" s="24">
        <v>45679</v>
      </c>
      <c r="O123" s="25" t="s">
        <v>93</v>
      </c>
      <c r="P123" s="25" t="s">
        <v>399</v>
      </c>
      <c r="Q123" s="25" t="s">
        <v>95</v>
      </c>
      <c r="R123" s="25" t="s">
        <v>87</v>
      </c>
      <c r="S123" s="24">
        <v>45679</v>
      </c>
      <c r="T123" s="25" t="s">
        <v>83</v>
      </c>
      <c r="U123" s="25" t="s">
        <v>83</v>
      </c>
      <c r="V123" s="25" t="s">
        <v>96</v>
      </c>
      <c r="W123" s="52" t="s">
        <v>83</v>
      </c>
      <c r="X123" s="52" t="s">
        <v>83</v>
      </c>
      <c r="Y123" s="53">
        <v>0</v>
      </c>
      <c r="Z123" s="53">
        <v>0</v>
      </c>
      <c r="AA123" s="5">
        <v>1369.81</v>
      </c>
    </row>
    <row r="124" spans="12:27" x14ac:dyDescent="0.25">
      <c r="L124" s="28"/>
      <c r="M124" s="28"/>
      <c r="N124" s="67">
        <v>45693</v>
      </c>
      <c r="O124" s="25" t="s">
        <v>93</v>
      </c>
      <c r="P124" s="25" t="s">
        <v>400</v>
      </c>
      <c r="Q124" s="25" t="s">
        <v>98</v>
      </c>
      <c r="R124" s="25" t="s">
        <v>87</v>
      </c>
      <c r="S124" s="24">
        <v>45693</v>
      </c>
      <c r="T124" s="25" t="s">
        <v>83</v>
      </c>
      <c r="U124" s="25" t="s">
        <v>83</v>
      </c>
      <c r="V124" s="25" t="s">
        <v>96</v>
      </c>
      <c r="W124" s="52" t="s">
        <v>83</v>
      </c>
      <c r="X124" s="52" t="s">
        <v>83</v>
      </c>
      <c r="Y124" s="53">
        <v>0</v>
      </c>
      <c r="Z124" s="53">
        <v>0</v>
      </c>
      <c r="AA124" s="5">
        <v>-152.22999999999999</v>
      </c>
    </row>
    <row r="125" spans="12:27" x14ac:dyDescent="0.25">
      <c r="L125" s="28"/>
      <c r="M125" s="28"/>
      <c r="N125" s="68"/>
      <c r="O125" s="25" t="s">
        <v>99</v>
      </c>
      <c r="P125" s="25" t="s">
        <v>401</v>
      </c>
      <c r="Q125" s="25" t="s">
        <v>95</v>
      </c>
      <c r="R125" s="25" t="s">
        <v>87</v>
      </c>
      <c r="S125" s="24">
        <v>45693</v>
      </c>
      <c r="T125" s="25" t="s">
        <v>83</v>
      </c>
      <c r="U125" s="25" t="s">
        <v>402</v>
      </c>
      <c r="V125" s="25" t="s">
        <v>102</v>
      </c>
      <c r="W125" s="52" t="s">
        <v>83</v>
      </c>
      <c r="X125" s="52" t="s">
        <v>83</v>
      </c>
      <c r="Y125" s="53">
        <v>0</v>
      </c>
      <c r="Z125" s="53">
        <v>304.39999999999998</v>
      </c>
      <c r="AA125" s="5">
        <v>0</v>
      </c>
    </row>
    <row r="126" spans="12:27" x14ac:dyDescent="0.25">
      <c r="L126" s="28"/>
      <c r="M126" s="28"/>
      <c r="N126" s="24">
        <v>45695</v>
      </c>
      <c r="O126" s="25" t="s">
        <v>403</v>
      </c>
      <c r="P126" s="25" t="s">
        <v>404</v>
      </c>
      <c r="Q126" s="25" t="s">
        <v>113</v>
      </c>
      <c r="R126" s="60" t="s">
        <v>114</v>
      </c>
      <c r="S126" s="24">
        <v>45695</v>
      </c>
      <c r="T126" s="25" t="s">
        <v>83</v>
      </c>
      <c r="U126" s="25" t="s">
        <v>83</v>
      </c>
      <c r="V126" s="25" t="s">
        <v>405</v>
      </c>
      <c r="W126" s="52" t="s">
        <v>406</v>
      </c>
      <c r="X126" s="52" t="s">
        <v>83</v>
      </c>
      <c r="Y126" s="53">
        <v>0</v>
      </c>
      <c r="Z126" s="53">
        <v>-304.39999999999998</v>
      </c>
      <c r="AA126" s="5">
        <v>0</v>
      </c>
    </row>
    <row r="127" spans="12:27" x14ac:dyDescent="0.25">
      <c r="L127" s="28"/>
      <c r="M127" s="28"/>
      <c r="N127" s="24">
        <v>45698</v>
      </c>
      <c r="O127" s="25" t="s">
        <v>93</v>
      </c>
      <c r="P127" s="25" t="s">
        <v>407</v>
      </c>
      <c r="Q127" s="25" t="s">
        <v>98</v>
      </c>
      <c r="R127" s="25" t="s">
        <v>87</v>
      </c>
      <c r="S127" s="24">
        <v>45698</v>
      </c>
      <c r="T127" s="25" t="s">
        <v>83</v>
      </c>
      <c r="U127" s="25" t="s">
        <v>83</v>
      </c>
      <c r="V127" s="25" t="s">
        <v>96</v>
      </c>
      <c r="W127" s="52" t="s">
        <v>83</v>
      </c>
      <c r="X127" s="52" t="s">
        <v>83</v>
      </c>
      <c r="Y127" s="53">
        <v>0</v>
      </c>
      <c r="Z127" s="53">
        <v>0</v>
      </c>
      <c r="AA127" s="5">
        <v>-1217.58</v>
      </c>
    </row>
    <row r="128" spans="12:27" x14ac:dyDescent="0.25">
      <c r="L128" s="28"/>
      <c r="M128" s="28"/>
      <c r="N128" s="24">
        <v>45791</v>
      </c>
      <c r="O128" s="25" t="s">
        <v>93</v>
      </c>
      <c r="P128" s="25" t="s">
        <v>424</v>
      </c>
      <c r="Q128" s="25" t="s">
        <v>95</v>
      </c>
      <c r="R128" s="25" t="s">
        <v>87</v>
      </c>
      <c r="S128" s="24">
        <v>45791</v>
      </c>
      <c r="T128" s="25" t="s">
        <v>83</v>
      </c>
      <c r="U128" s="25" t="s">
        <v>83</v>
      </c>
      <c r="V128" s="25" t="s">
        <v>96</v>
      </c>
      <c r="W128" s="52" t="s">
        <v>83</v>
      </c>
      <c r="X128" s="52" t="s">
        <v>83</v>
      </c>
      <c r="Y128" s="53">
        <v>0</v>
      </c>
      <c r="Z128" s="53">
        <v>0</v>
      </c>
      <c r="AA128" s="5">
        <v>13.26</v>
      </c>
    </row>
    <row r="129" spans="12:27" x14ac:dyDescent="0.25">
      <c r="L129" s="28"/>
      <c r="M129" s="28"/>
      <c r="N129" s="67">
        <v>45819</v>
      </c>
      <c r="O129" s="25" t="s">
        <v>93</v>
      </c>
      <c r="P129" s="25" t="s">
        <v>418</v>
      </c>
      <c r="Q129" s="25" t="s">
        <v>98</v>
      </c>
      <c r="R129" s="25" t="s">
        <v>87</v>
      </c>
      <c r="S129" s="24">
        <v>45819</v>
      </c>
      <c r="T129" s="25" t="s">
        <v>83</v>
      </c>
      <c r="U129" s="25" t="s">
        <v>83</v>
      </c>
      <c r="V129" s="25" t="s">
        <v>96</v>
      </c>
      <c r="W129" s="52" t="s">
        <v>83</v>
      </c>
      <c r="X129" s="52" t="s">
        <v>83</v>
      </c>
      <c r="Y129" s="53">
        <v>0</v>
      </c>
      <c r="Z129" s="53">
        <v>0</v>
      </c>
      <c r="AA129" s="5">
        <v>-5.07</v>
      </c>
    </row>
    <row r="130" spans="12:27" x14ac:dyDescent="0.25">
      <c r="L130" s="28"/>
      <c r="M130" s="28"/>
      <c r="N130" s="69"/>
      <c r="O130" s="23" t="s">
        <v>99</v>
      </c>
      <c r="P130" s="23" t="s">
        <v>419</v>
      </c>
      <c r="Q130" s="23" t="s">
        <v>95</v>
      </c>
      <c r="R130" s="23" t="s">
        <v>87</v>
      </c>
      <c r="S130" s="58">
        <v>45819</v>
      </c>
      <c r="T130" s="23" t="s">
        <v>83</v>
      </c>
      <c r="U130" s="25" t="s">
        <v>101</v>
      </c>
      <c r="V130" s="25" t="s">
        <v>102</v>
      </c>
      <c r="W130" s="52" t="s">
        <v>83</v>
      </c>
      <c r="X130" s="52" t="s">
        <v>83</v>
      </c>
      <c r="Y130" s="53">
        <v>0</v>
      </c>
      <c r="Z130" s="53">
        <v>76.48</v>
      </c>
      <c r="AA130" s="5">
        <v>0</v>
      </c>
    </row>
    <row r="131" spans="12:27" x14ac:dyDescent="0.25">
      <c r="L131" s="28"/>
      <c r="M131" s="28"/>
      <c r="N131" s="68"/>
      <c r="O131" s="29"/>
      <c r="P131" s="29"/>
      <c r="Q131" s="29"/>
      <c r="R131" s="29"/>
      <c r="S131" s="59"/>
      <c r="T131" s="29"/>
      <c r="U131" s="25" t="s">
        <v>106</v>
      </c>
      <c r="V131" s="25" t="s">
        <v>102</v>
      </c>
      <c r="W131" s="52" t="s">
        <v>83</v>
      </c>
      <c r="X131" s="52" t="s">
        <v>83</v>
      </c>
      <c r="Y131" s="53">
        <v>0</v>
      </c>
      <c r="Z131" s="53">
        <v>76.48</v>
      </c>
      <c r="AA131" s="5">
        <v>0</v>
      </c>
    </row>
    <row r="132" spans="12:27" x14ac:dyDescent="0.25">
      <c r="L132" s="28"/>
      <c r="M132" s="28"/>
      <c r="N132" s="67">
        <v>45833</v>
      </c>
      <c r="O132" s="25" t="s">
        <v>93</v>
      </c>
      <c r="P132" s="25" t="s">
        <v>420</v>
      </c>
      <c r="Q132" s="25" t="s">
        <v>98</v>
      </c>
      <c r="R132" s="25" t="s">
        <v>87</v>
      </c>
      <c r="S132" s="24">
        <v>45833</v>
      </c>
      <c r="T132" s="25" t="s">
        <v>83</v>
      </c>
      <c r="U132" s="25" t="s">
        <v>83</v>
      </c>
      <c r="V132" s="25" t="s">
        <v>96</v>
      </c>
      <c r="W132" s="52" t="s">
        <v>83</v>
      </c>
      <c r="X132" s="52" t="s">
        <v>83</v>
      </c>
      <c r="Y132" s="53">
        <v>0</v>
      </c>
      <c r="Z132" s="53">
        <v>0</v>
      </c>
      <c r="AA132" s="5">
        <v>-5.07</v>
      </c>
    </row>
    <row r="133" spans="12:27" x14ac:dyDescent="0.25">
      <c r="L133" s="28"/>
      <c r="M133" s="28"/>
      <c r="N133" s="68"/>
      <c r="O133" s="25" t="s">
        <v>99</v>
      </c>
      <c r="P133" s="25" t="s">
        <v>421</v>
      </c>
      <c r="Q133" s="25" t="s">
        <v>95</v>
      </c>
      <c r="R133" s="25" t="s">
        <v>87</v>
      </c>
      <c r="S133" s="24">
        <v>45833</v>
      </c>
      <c r="T133" s="25" t="s">
        <v>83</v>
      </c>
      <c r="U133" s="25" t="s">
        <v>106</v>
      </c>
      <c r="V133" s="25" t="s">
        <v>102</v>
      </c>
      <c r="W133" s="52" t="s">
        <v>83</v>
      </c>
      <c r="X133" s="52" t="s">
        <v>83</v>
      </c>
      <c r="Y133" s="53">
        <v>0</v>
      </c>
      <c r="Z133" s="53">
        <v>152.96</v>
      </c>
      <c r="AA133" s="5">
        <v>0</v>
      </c>
    </row>
    <row r="134" spans="12:27" x14ac:dyDescent="0.25">
      <c r="L134" s="28"/>
      <c r="M134" s="28"/>
      <c r="N134" s="24">
        <v>45847</v>
      </c>
      <c r="O134" s="25" t="s">
        <v>99</v>
      </c>
      <c r="P134" s="25" t="s">
        <v>422</v>
      </c>
      <c r="Q134" s="25" t="s">
        <v>95</v>
      </c>
      <c r="R134" s="25" t="s">
        <v>87</v>
      </c>
      <c r="S134" s="24">
        <v>45847</v>
      </c>
      <c r="T134" s="25" t="s">
        <v>83</v>
      </c>
      <c r="U134" s="25" t="s">
        <v>106</v>
      </c>
      <c r="V134" s="25" t="s">
        <v>102</v>
      </c>
      <c r="W134" s="52" t="s">
        <v>83</v>
      </c>
      <c r="X134" s="52" t="s">
        <v>83</v>
      </c>
      <c r="Y134" s="53">
        <v>0</v>
      </c>
      <c r="Z134" s="53">
        <v>96.88</v>
      </c>
      <c r="AA134" s="5">
        <v>0</v>
      </c>
    </row>
    <row r="135" spans="12:27" x14ac:dyDescent="0.25">
      <c r="L135" s="29"/>
      <c r="M135" s="29"/>
      <c r="N135" s="24">
        <v>45849</v>
      </c>
      <c r="O135" s="25" t="s">
        <v>93</v>
      </c>
      <c r="P135" s="25" t="s">
        <v>423</v>
      </c>
      <c r="Q135" s="25" t="s">
        <v>98</v>
      </c>
      <c r="R135" s="25" t="s">
        <v>87</v>
      </c>
      <c r="S135" s="24">
        <v>45849</v>
      </c>
      <c r="T135" s="25" t="s">
        <v>83</v>
      </c>
      <c r="U135" s="25" t="s">
        <v>83</v>
      </c>
      <c r="V135" s="25" t="s">
        <v>96</v>
      </c>
      <c r="W135" s="52" t="s">
        <v>83</v>
      </c>
      <c r="X135" s="52" t="s">
        <v>83</v>
      </c>
      <c r="Y135" s="53">
        <v>0</v>
      </c>
      <c r="Z135" s="53">
        <v>0</v>
      </c>
      <c r="AA135" s="5">
        <v>-3.12</v>
      </c>
    </row>
    <row r="136" spans="12:27" x14ac:dyDescent="0.25">
      <c r="L136" s="54" t="s">
        <v>468</v>
      </c>
      <c r="M136" s="55"/>
      <c r="N136" s="66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6">
        <v>0</v>
      </c>
      <c r="Z136" s="56">
        <v>402.8</v>
      </c>
      <c r="AA136" s="57">
        <v>2.3625545964023301E-13</v>
      </c>
    </row>
    <row r="137" spans="12:27" x14ac:dyDescent="0.25">
      <c r="L137" s="23" t="s">
        <v>22</v>
      </c>
      <c r="M137" s="23" t="s">
        <v>23</v>
      </c>
      <c r="N137" s="24">
        <v>45481</v>
      </c>
      <c r="O137" s="25" t="s">
        <v>93</v>
      </c>
      <c r="P137" s="25" t="s">
        <v>409</v>
      </c>
      <c r="Q137" s="25" t="s">
        <v>95</v>
      </c>
      <c r="R137" s="25" t="s">
        <v>87</v>
      </c>
      <c r="S137" s="24">
        <v>45481</v>
      </c>
      <c r="T137" s="25" t="s">
        <v>83</v>
      </c>
      <c r="U137" s="25" t="s">
        <v>83</v>
      </c>
      <c r="V137" s="25" t="s">
        <v>96</v>
      </c>
      <c r="W137" s="52" t="s">
        <v>83</v>
      </c>
      <c r="X137" s="52" t="s">
        <v>83</v>
      </c>
      <c r="Y137" s="53">
        <v>0</v>
      </c>
      <c r="Z137" s="53">
        <v>0</v>
      </c>
      <c r="AA137" s="5">
        <v>180.16</v>
      </c>
    </row>
    <row r="138" spans="12:27" x14ac:dyDescent="0.25">
      <c r="L138" s="28"/>
      <c r="M138" s="28"/>
      <c r="N138" s="24">
        <v>45490</v>
      </c>
      <c r="O138" s="25" t="s">
        <v>93</v>
      </c>
      <c r="P138" s="25" t="s">
        <v>410</v>
      </c>
      <c r="Q138" s="25" t="s">
        <v>98</v>
      </c>
      <c r="R138" s="25" t="s">
        <v>87</v>
      </c>
      <c r="S138" s="24">
        <v>45490</v>
      </c>
      <c r="T138" s="25" t="s">
        <v>83</v>
      </c>
      <c r="U138" s="25" t="s">
        <v>83</v>
      </c>
      <c r="V138" s="25" t="s">
        <v>96</v>
      </c>
      <c r="W138" s="52" t="s">
        <v>83</v>
      </c>
      <c r="X138" s="52" t="s">
        <v>83</v>
      </c>
      <c r="Y138" s="53">
        <v>0</v>
      </c>
      <c r="Z138" s="53">
        <v>0</v>
      </c>
      <c r="AA138" s="5">
        <v>-25.92</v>
      </c>
    </row>
    <row r="139" spans="12:27" x14ac:dyDescent="0.25">
      <c r="L139" s="28"/>
      <c r="M139" s="28"/>
      <c r="N139" s="67">
        <v>45497</v>
      </c>
      <c r="O139" s="25" t="s">
        <v>93</v>
      </c>
      <c r="P139" s="25" t="s">
        <v>411</v>
      </c>
      <c r="Q139" s="25" t="s">
        <v>98</v>
      </c>
      <c r="R139" s="25" t="s">
        <v>87</v>
      </c>
      <c r="S139" s="24">
        <v>45497</v>
      </c>
      <c r="T139" s="25" t="s">
        <v>83</v>
      </c>
      <c r="U139" s="25" t="s">
        <v>83</v>
      </c>
      <c r="V139" s="25" t="s">
        <v>96</v>
      </c>
      <c r="W139" s="52" t="s">
        <v>83</v>
      </c>
      <c r="X139" s="52" t="s">
        <v>83</v>
      </c>
      <c r="Y139" s="53">
        <v>0</v>
      </c>
      <c r="Z139" s="53">
        <v>0</v>
      </c>
      <c r="AA139" s="5">
        <v>-51.2</v>
      </c>
    </row>
    <row r="140" spans="12:27" x14ac:dyDescent="0.25">
      <c r="L140" s="28"/>
      <c r="M140" s="28"/>
      <c r="N140" s="68"/>
      <c r="O140" s="25" t="s">
        <v>99</v>
      </c>
      <c r="P140" s="25" t="s">
        <v>412</v>
      </c>
      <c r="Q140" s="25" t="s">
        <v>95</v>
      </c>
      <c r="R140" s="25" t="s">
        <v>87</v>
      </c>
      <c r="S140" s="24">
        <v>45497</v>
      </c>
      <c r="T140" s="25" t="s">
        <v>83</v>
      </c>
      <c r="U140" s="25" t="s">
        <v>113</v>
      </c>
      <c r="V140" s="25" t="s">
        <v>102</v>
      </c>
      <c r="W140" s="52" t="s">
        <v>83</v>
      </c>
      <c r="X140" s="52" t="s">
        <v>83</v>
      </c>
      <c r="Y140" s="53">
        <v>0</v>
      </c>
      <c r="Z140" s="53">
        <v>1029.25</v>
      </c>
      <c r="AA140" s="5">
        <v>0</v>
      </c>
    </row>
    <row r="141" spans="12:27" x14ac:dyDescent="0.25">
      <c r="L141" s="28"/>
      <c r="M141" s="28"/>
      <c r="N141" s="67">
        <v>45511</v>
      </c>
      <c r="O141" s="25" t="s">
        <v>93</v>
      </c>
      <c r="P141" s="25" t="s">
        <v>413</v>
      </c>
      <c r="Q141" s="25" t="s">
        <v>98</v>
      </c>
      <c r="R141" s="25" t="s">
        <v>87</v>
      </c>
      <c r="S141" s="24">
        <v>45511</v>
      </c>
      <c r="T141" s="25" t="s">
        <v>83</v>
      </c>
      <c r="U141" s="25" t="s">
        <v>83</v>
      </c>
      <c r="V141" s="25" t="s">
        <v>96</v>
      </c>
      <c r="W141" s="52" t="s">
        <v>83</v>
      </c>
      <c r="X141" s="52" t="s">
        <v>83</v>
      </c>
      <c r="Y141" s="53">
        <v>0</v>
      </c>
      <c r="Z141" s="53">
        <v>0</v>
      </c>
      <c r="AA141" s="5">
        <v>-51.52</v>
      </c>
    </row>
    <row r="142" spans="12:27" x14ac:dyDescent="0.25">
      <c r="L142" s="28"/>
      <c r="M142" s="28"/>
      <c r="N142" s="68"/>
      <c r="O142" s="25" t="s">
        <v>99</v>
      </c>
      <c r="P142" s="25" t="s">
        <v>414</v>
      </c>
      <c r="Q142" s="25" t="s">
        <v>95</v>
      </c>
      <c r="R142" s="25" t="s">
        <v>87</v>
      </c>
      <c r="S142" s="24">
        <v>45511</v>
      </c>
      <c r="T142" s="25" t="s">
        <v>83</v>
      </c>
      <c r="U142" s="25" t="s">
        <v>113</v>
      </c>
      <c r="V142" s="25" t="s">
        <v>102</v>
      </c>
      <c r="W142" s="52" t="s">
        <v>83</v>
      </c>
      <c r="X142" s="52" t="s">
        <v>83</v>
      </c>
      <c r="Y142" s="53">
        <v>0</v>
      </c>
      <c r="Z142" s="53">
        <v>1029.25</v>
      </c>
      <c r="AA142" s="5">
        <v>0</v>
      </c>
    </row>
    <row r="143" spans="12:27" x14ac:dyDescent="0.25">
      <c r="L143" s="28"/>
      <c r="M143" s="28"/>
      <c r="N143" s="67">
        <v>45525</v>
      </c>
      <c r="O143" s="25" t="s">
        <v>93</v>
      </c>
      <c r="P143" s="25" t="s">
        <v>415</v>
      </c>
      <c r="Q143" s="25" t="s">
        <v>98</v>
      </c>
      <c r="R143" s="25" t="s">
        <v>87</v>
      </c>
      <c r="S143" s="24">
        <v>45525</v>
      </c>
      <c r="T143" s="25" t="s">
        <v>83</v>
      </c>
      <c r="U143" s="25" t="s">
        <v>83</v>
      </c>
      <c r="V143" s="25" t="s">
        <v>96</v>
      </c>
      <c r="W143" s="52" t="s">
        <v>83</v>
      </c>
      <c r="X143" s="52" t="s">
        <v>83</v>
      </c>
      <c r="Y143" s="53">
        <v>0</v>
      </c>
      <c r="Z143" s="53">
        <v>0</v>
      </c>
      <c r="AA143" s="5">
        <v>-51.52</v>
      </c>
    </row>
    <row r="144" spans="12:27" x14ac:dyDescent="0.25">
      <c r="L144" s="28"/>
      <c r="M144" s="28"/>
      <c r="N144" s="68"/>
      <c r="O144" s="25" t="s">
        <v>99</v>
      </c>
      <c r="P144" s="25" t="s">
        <v>416</v>
      </c>
      <c r="Q144" s="25" t="s">
        <v>95</v>
      </c>
      <c r="R144" s="25" t="s">
        <v>87</v>
      </c>
      <c r="S144" s="24">
        <v>45525</v>
      </c>
      <c r="T144" s="25" t="s">
        <v>83</v>
      </c>
      <c r="U144" s="25" t="s">
        <v>342</v>
      </c>
      <c r="V144" s="25" t="s">
        <v>102</v>
      </c>
      <c r="W144" s="52" t="s">
        <v>83</v>
      </c>
      <c r="X144" s="52" t="s">
        <v>83</v>
      </c>
      <c r="Y144" s="53">
        <v>0</v>
      </c>
      <c r="Z144" s="53">
        <v>1029.25</v>
      </c>
      <c r="AA144" s="5">
        <v>0</v>
      </c>
    </row>
    <row r="145" spans="12:27" x14ac:dyDescent="0.25">
      <c r="L145" s="28"/>
      <c r="M145" s="28"/>
      <c r="N145" s="24">
        <v>45796</v>
      </c>
      <c r="O145" s="25" t="s">
        <v>93</v>
      </c>
      <c r="P145" s="25" t="s">
        <v>417</v>
      </c>
      <c r="Q145" s="25" t="s">
        <v>95</v>
      </c>
      <c r="R145" s="25" t="s">
        <v>87</v>
      </c>
      <c r="S145" s="24">
        <v>45796</v>
      </c>
      <c r="T145" s="25" t="s">
        <v>83</v>
      </c>
      <c r="U145" s="25" t="s">
        <v>83</v>
      </c>
      <c r="V145" s="25" t="s">
        <v>96</v>
      </c>
      <c r="W145" s="52" t="s">
        <v>83</v>
      </c>
      <c r="X145" s="52" t="s">
        <v>83</v>
      </c>
      <c r="Y145" s="53">
        <v>0</v>
      </c>
      <c r="Z145" s="53">
        <v>0</v>
      </c>
      <c r="AA145" s="5">
        <v>133.76</v>
      </c>
    </row>
    <row r="146" spans="12:27" x14ac:dyDescent="0.25">
      <c r="L146" s="28"/>
      <c r="M146" s="28"/>
      <c r="N146" s="67">
        <v>45819</v>
      </c>
      <c r="O146" s="25" t="s">
        <v>93</v>
      </c>
      <c r="P146" s="25" t="s">
        <v>418</v>
      </c>
      <c r="Q146" s="25" t="s">
        <v>98</v>
      </c>
      <c r="R146" s="25" t="s">
        <v>87</v>
      </c>
      <c r="S146" s="24">
        <v>45819</v>
      </c>
      <c r="T146" s="25" t="s">
        <v>83</v>
      </c>
      <c r="U146" s="25" t="s">
        <v>83</v>
      </c>
      <c r="V146" s="25" t="s">
        <v>96</v>
      </c>
      <c r="W146" s="52" t="s">
        <v>83</v>
      </c>
      <c r="X146" s="52" t="s">
        <v>83</v>
      </c>
      <c r="Y146" s="53">
        <v>0</v>
      </c>
      <c r="Z146" s="53">
        <v>0</v>
      </c>
      <c r="AA146" s="5">
        <v>-51.52</v>
      </c>
    </row>
    <row r="147" spans="12:27" x14ac:dyDescent="0.25">
      <c r="L147" s="28"/>
      <c r="M147" s="28"/>
      <c r="N147" s="69"/>
      <c r="O147" s="23" t="s">
        <v>99</v>
      </c>
      <c r="P147" s="23" t="s">
        <v>419</v>
      </c>
      <c r="Q147" s="23" t="s">
        <v>95</v>
      </c>
      <c r="R147" s="23" t="s">
        <v>87</v>
      </c>
      <c r="S147" s="58">
        <v>45819</v>
      </c>
      <c r="T147" s="23" t="s">
        <v>83</v>
      </c>
      <c r="U147" s="25" t="s">
        <v>101</v>
      </c>
      <c r="V147" s="25" t="s">
        <v>102</v>
      </c>
      <c r="W147" s="52" t="s">
        <v>83</v>
      </c>
      <c r="X147" s="52" t="s">
        <v>83</v>
      </c>
      <c r="Y147" s="53">
        <v>0</v>
      </c>
      <c r="Z147" s="53">
        <v>823.4</v>
      </c>
      <c r="AA147" s="5">
        <v>0</v>
      </c>
    </row>
    <row r="148" spans="12:27" x14ac:dyDescent="0.25">
      <c r="L148" s="28"/>
      <c r="M148" s="28"/>
      <c r="N148" s="68"/>
      <c r="O148" s="29"/>
      <c r="P148" s="29"/>
      <c r="Q148" s="29"/>
      <c r="R148" s="29"/>
      <c r="S148" s="59"/>
      <c r="T148" s="29"/>
      <c r="U148" s="25" t="s">
        <v>106</v>
      </c>
      <c r="V148" s="25" t="s">
        <v>102</v>
      </c>
      <c r="W148" s="52" t="s">
        <v>83</v>
      </c>
      <c r="X148" s="52" t="s">
        <v>83</v>
      </c>
      <c r="Y148" s="53">
        <v>0</v>
      </c>
      <c r="Z148" s="53">
        <v>1029.25</v>
      </c>
      <c r="AA148" s="5">
        <v>0</v>
      </c>
    </row>
    <row r="149" spans="12:27" x14ac:dyDescent="0.25">
      <c r="L149" s="28"/>
      <c r="M149" s="28"/>
      <c r="N149" s="67">
        <v>45833</v>
      </c>
      <c r="O149" s="25" t="s">
        <v>93</v>
      </c>
      <c r="P149" s="25" t="s">
        <v>420</v>
      </c>
      <c r="Q149" s="25" t="s">
        <v>98</v>
      </c>
      <c r="R149" s="25" t="s">
        <v>87</v>
      </c>
      <c r="S149" s="24">
        <v>45833</v>
      </c>
      <c r="T149" s="25" t="s">
        <v>83</v>
      </c>
      <c r="U149" s="25" t="s">
        <v>83</v>
      </c>
      <c r="V149" s="25" t="s">
        <v>96</v>
      </c>
      <c r="W149" s="52" t="s">
        <v>83</v>
      </c>
      <c r="X149" s="52" t="s">
        <v>83</v>
      </c>
      <c r="Y149" s="53">
        <v>0</v>
      </c>
      <c r="Z149" s="53">
        <v>0</v>
      </c>
      <c r="AA149" s="5">
        <v>-51.52</v>
      </c>
    </row>
    <row r="150" spans="12:27" x14ac:dyDescent="0.25">
      <c r="L150" s="28"/>
      <c r="M150" s="28"/>
      <c r="N150" s="68"/>
      <c r="O150" s="25" t="s">
        <v>99</v>
      </c>
      <c r="P150" s="25" t="s">
        <v>421</v>
      </c>
      <c r="Q150" s="25" t="s">
        <v>95</v>
      </c>
      <c r="R150" s="25" t="s">
        <v>87</v>
      </c>
      <c r="S150" s="24">
        <v>45833</v>
      </c>
      <c r="T150" s="25" t="s">
        <v>83</v>
      </c>
      <c r="U150" s="25" t="s">
        <v>106</v>
      </c>
      <c r="V150" s="25" t="s">
        <v>102</v>
      </c>
      <c r="W150" s="52" t="s">
        <v>83</v>
      </c>
      <c r="X150" s="52" t="s">
        <v>83</v>
      </c>
      <c r="Y150" s="53">
        <v>0</v>
      </c>
      <c r="Z150" s="53">
        <v>1852.65</v>
      </c>
      <c r="AA150" s="5">
        <v>0</v>
      </c>
    </row>
    <row r="151" spans="12:27" x14ac:dyDescent="0.25">
      <c r="L151" s="28"/>
      <c r="M151" s="28"/>
      <c r="N151" s="24">
        <v>45847</v>
      </c>
      <c r="O151" s="25" t="s">
        <v>99</v>
      </c>
      <c r="P151" s="25" t="s">
        <v>422</v>
      </c>
      <c r="Q151" s="25" t="s">
        <v>95</v>
      </c>
      <c r="R151" s="25" t="s">
        <v>87</v>
      </c>
      <c r="S151" s="24">
        <v>45847</v>
      </c>
      <c r="T151" s="25" t="s">
        <v>83</v>
      </c>
      <c r="U151" s="25" t="s">
        <v>106</v>
      </c>
      <c r="V151" s="25" t="s">
        <v>102</v>
      </c>
      <c r="W151" s="52" t="s">
        <v>83</v>
      </c>
      <c r="X151" s="52" t="s">
        <v>83</v>
      </c>
      <c r="Y151" s="53">
        <v>0</v>
      </c>
      <c r="Z151" s="53">
        <v>720.47</v>
      </c>
      <c r="AA151" s="5">
        <v>0</v>
      </c>
    </row>
    <row r="152" spans="12:27" x14ac:dyDescent="0.25">
      <c r="L152" s="29"/>
      <c r="M152" s="29"/>
      <c r="N152" s="24">
        <v>45849</v>
      </c>
      <c r="O152" s="25" t="s">
        <v>93</v>
      </c>
      <c r="P152" s="25" t="s">
        <v>423</v>
      </c>
      <c r="Q152" s="25" t="s">
        <v>98</v>
      </c>
      <c r="R152" s="25" t="s">
        <v>87</v>
      </c>
      <c r="S152" s="24">
        <v>45849</v>
      </c>
      <c r="T152" s="25" t="s">
        <v>83</v>
      </c>
      <c r="U152" s="25" t="s">
        <v>83</v>
      </c>
      <c r="V152" s="25" t="s">
        <v>96</v>
      </c>
      <c r="W152" s="52" t="s">
        <v>83</v>
      </c>
      <c r="X152" s="52" t="s">
        <v>83</v>
      </c>
      <c r="Y152" s="53">
        <v>0</v>
      </c>
      <c r="Z152" s="53">
        <v>0</v>
      </c>
      <c r="AA152" s="5">
        <v>-30.72</v>
      </c>
    </row>
    <row r="153" spans="12:27" x14ac:dyDescent="0.25">
      <c r="L153" s="54" t="s">
        <v>110</v>
      </c>
      <c r="M153" s="55"/>
      <c r="N153" s="66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6">
        <v>0</v>
      </c>
      <c r="Z153" s="56">
        <v>7513.52</v>
      </c>
      <c r="AA153" s="57">
        <v>-8.5265128291211997E-14</v>
      </c>
    </row>
    <row r="154" spans="12:27" x14ac:dyDescent="0.25">
      <c r="L154" s="23" t="s">
        <v>378</v>
      </c>
      <c r="M154" s="23" t="s">
        <v>379</v>
      </c>
      <c r="N154" s="67">
        <v>45849</v>
      </c>
      <c r="O154" s="23" t="s">
        <v>469</v>
      </c>
      <c r="P154" s="23" t="s">
        <v>470</v>
      </c>
      <c r="Q154" s="23" t="s">
        <v>113</v>
      </c>
      <c r="R154" s="61" t="s">
        <v>114</v>
      </c>
      <c r="S154" s="58">
        <v>45849</v>
      </c>
      <c r="T154" s="23" t="s">
        <v>83</v>
      </c>
      <c r="U154" s="23" t="s">
        <v>83</v>
      </c>
      <c r="V154" s="25" t="s">
        <v>471</v>
      </c>
      <c r="W154" s="52" t="s">
        <v>472</v>
      </c>
      <c r="X154" s="52" t="s">
        <v>83</v>
      </c>
      <c r="Y154" s="53">
        <v>0</v>
      </c>
      <c r="Z154" s="53">
        <v>29.38</v>
      </c>
      <c r="AA154" s="5">
        <v>0</v>
      </c>
    </row>
    <row r="155" spans="12:27" x14ac:dyDescent="0.25">
      <c r="L155" s="28"/>
      <c r="M155" s="28"/>
      <c r="N155" s="69"/>
      <c r="O155" s="28"/>
      <c r="P155" s="28"/>
      <c r="Q155" s="28"/>
      <c r="R155" s="85"/>
      <c r="S155" s="62"/>
      <c r="T155" s="28"/>
      <c r="U155" s="28"/>
      <c r="V155" s="25" t="s">
        <v>473</v>
      </c>
      <c r="W155" s="52" t="s">
        <v>472</v>
      </c>
      <c r="X155" s="52" t="s">
        <v>83</v>
      </c>
      <c r="Y155" s="53">
        <v>0</v>
      </c>
      <c r="Z155" s="53">
        <v>62.5</v>
      </c>
      <c r="AA155" s="5">
        <v>0</v>
      </c>
    </row>
    <row r="156" spans="12:27" x14ac:dyDescent="0.25">
      <c r="L156" s="29"/>
      <c r="M156" s="29"/>
      <c r="N156" s="68"/>
      <c r="O156" s="29"/>
      <c r="P156" s="29"/>
      <c r="Q156" s="29"/>
      <c r="R156" s="63"/>
      <c r="S156" s="59"/>
      <c r="T156" s="29"/>
      <c r="U156" s="29"/>
      <c r="V156" s="25" t="s">
        <v>474</v>
      </c>
      <c r="W156" s="52" t="s">
        <v>472</v>
      </c>
      <c r="X156" s="52" t="s">
        <v>83</v>
      </c>
      <c r="Y156" s="53">
        <v>0</v>
      </c>
      <c r="Z156" s="53">
        <v>250</v>
      </c>
      <c r="AA156" s="5">
        <v>0</v>
      </c>
    </row>
    <row r="157" spans="12:27" x14ac:dyDescent="0.25">
      <c r="L157" s="54" t="s">
        <v>475</v>
      </c>
      <c r="M157" s="55"/>
      <c r="N157" s="66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6">
        <v>0</v>
      </c>
      <c r="Z157" s="56">
        <v>341.88</v>
      </c>
      <c r="AA157" s="57">
        <v>0</v>
      </c>
    </row>
    <row r="158" spans="12:27" x14ac:dyDescent="0.25">
      <c r="L158" s="25" t="s">
        <v>380</v>
      </c>
      <c r="M158" s="25" t="s">
        <v>381</v>
      </c>
      <c r="N158" s="24">
        <v>45849</v>
      </c>
      <c r="O158" s="25" t="s">
        <v>469</v>
      </c>
      <c r="P158" s="25" t="s">
        <v>470</v>
      </c>
      <c r="Q158" s="25" t="s">
        <v>113</v>
      </c>
      <c r="R158" s="60" t="s">
        <v>114</v>
      </c>
      <c r="S158" s="24">
        <v>45849</v>
      </c>
      <c r="T158" s="25" t="s">
        <v>83</v>
      </c>
      <c r="U158" s="25" t="s">
        <v>83</v>
      </c>
      <c r="V158" s="25" t="s">
        <v>476</v>
      </c>
      <c r="W158" s="52" t="s">
        <v>472</v>
      </c>
      <c r="X158" s="52" t="s">
        <v>83</v>
      </c>
      <c r="Y158" s="53">
        <v>0</v>
      </c>
      <c r="Z158" s="53">
        <v>95.32</v>
      </c>
      <c r="AA158" s="5">
        <v>0</v>
      </c>
    </row>
    <row r="159" spans="12:27" x14ac:dyDescent="0.25">
      <c r="L159" s="54" t="s">
        <v>477</v>
      </c>
      <c r="M159" s="55"/>
      <c r="N159" s="66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6">
        <v>0</v>
      </c>
      <c r="Z159" s="56">
        <v>95.32</v>
      </c>
      <c r="AA159" s="57">
        <v>0</v>
      </c>
    </row>
    <row r="160" spans="12:27" x14ac:dyDescent="0.25">
      <c r="L160" s="23" t="s">
        <v>382</v>
      </c>
      <c r="M160" s="23" t="s">
        <v>383</v>
      </c>
      <c r="N160" s="24">
        <v>45649</v>
      </c>
      <c r="O160" s="25" t="s">
        <v>111</v>
      </c>
      <c r="P160" s="25" t="s">
        <v>478</v>
      </c>
      <c r="Q160" s="25" t="s">
        <v>113</v>
      </c>
      <c r="R160" s="60" t="s">
        <v>114</v>
      </c>
      <c r="S160" s="24">
        <v>45649</v>
      </c>
      <c r="T160" s="25" t="s">
        <v>83</v>
      </c>
      <c r="U160" s="25" t="s">
        <v>83</v>
      </c>
      <c r="V160" s="25" t="s">
        <v>479</v>
      </c>
      <c r="W160" s="52" t="s">
        <v>480</v>
      </c>
      <c r="X160" s="52" t="s">
        <v>83</v>
      </c>
      <c r="Y160" s="53">
        <v>0</v>
      </c>
      <c r="Z160" s="53">
        <v>652.20000000000005</v>
      </c>
      <c r="AA160" s="5">
        <v>0</v>
      </c>
    </row>
    <row r="161" spans="12:27" x14ac:dyDescent="0.25">
      <c r="L161" s="28"/>
      <c r="M161" s="28"/>
      <c r="N161" s="67">
        <v>45849</v>
      </c>
      <c r="O161" s="23" t="s">
        <v>469</v>
      </c>
      <c r="P161" s="23" t="s">
        <v>470</v>
      </c>
      <c r="Q161" s="23" t="s">
        <v>113</v>
      </c>
      <c r="R161" s="61" t="s">
        <v>114</v>
      </c>
      <c r="S161" s="58">
        <v>45849</v>
      </c>
      <c r="T161" s="23" t="s">
        <v>83</v>
      </c>
      <c r="U161" s="23" t="s">
        <v>83</v>
      </c>
      <c r="V161" s="25" t="s">
        <v>481</v>
      </c>
      <c r="W161" s="52" t="s">
        <v>472</v>
      </c>
      <c r="X161" s="52" t="s">
        <v>83</v>
      </c>
      <c r="Y161" s="53">
        <v>0</v>
      </c>
      <c r="Z161" s="53">
        <v>199</v>
      </c>
      <c r="AA161" s="5">
        <v>0</v>
      </c>
    </row>
    <row r="162" spans="12:27" x14ac:dyDescent="0.25">
      <c r="L162" s="28"/>
      <c r="M162" s="28"/>
      <c r="N162" s="69"/>
      <c r="O162" s="28"/>
      <c r="P162" s="28"/>
      <c r="Q162" s="28"/>
      <c r="R162" s="85"/>
      <c r="S162" s="62"/>
      <c r="T162" s="28"/>
      <c r="U162" s="28"/>
      <c r="V162" s="25" t="s">
        <v>482</v>
      </c>
      <c r="W162" s="52" t="s">
        <v>472</v>
      </c>
      <c r="X162" s="52" t="s">
        <v>83</v>
      </c>
      <c r="Y162" s="53">
        <v>0</v>
      </c>
      <c r="Z162" s="53">
        <v>11.14</v>
      </c>
      <c r="AA162" s="5">
        <v>0</v>
      </c>
    </row>
    <row r="163" spans="12:27" x14ac:dyDescent="0.25">
      <c r="L163" s="29"/>
      <c r="M163" s="29"/>
      <c r="N163" s="68"/>
      <c r="O163" s="29"/>
      <c r="P163" s="29"/>
      <c r="Q163" s="29"/>
      <c r="R163" s="63"/>
      <c r="S163" s="59"/>
      <c r="T163" s="29"/>
      <c r="U163" s="29"/>
      <c r="V163" s="25" t="s">
        <v>483</v>
      </c>
      <c r="W163" s="52" t="s">
        <v>472</v>
      </c>
      <c r="X163" s="52" t="s">
        <v>83</v>
      </c>
      <c r="Y163" s="53">
        <v>0</v>
      </c>
      <c r="Z163" s="53">
        <v>100</v>
      </c>
      <c r="AA163" s="5">
        <v>0</v>
      </c>
    </row>
    <row r="164" spans="12:27" x14ac:dyDescent="0.25">
      <c r="L164" s="54" t="s">
        <v>484</v>
      </c>
      <c r="M164" s="55"/>
      <c r="N164" s="66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6">
        <v>0</v>
      </c>
      <c r="Z164" s="56">
        <v>962.34</v>
      </c>
      <c r="AA164" s="57">
        <v>0</v>
      </c>
    </row>
    <row r="165" spans="12:27" x14ac:dyDescent="0.25">
      <c r="L165" s="25" t="s">
        <v>384</v>
      </c>
      <c r="M165" s="25" t="s">
        <v>385</v>
      </c>
      <c r="N165" s="24">
        <v>45631</v>
      </c>
      <c r="O165" s="25" t="s">
        <v>485</v>
      </c>
      <c r="P165" s="25" t="s">
        <v>486</v>
      </c>
      <c r="Q165" s="25" t="s">
        <v>113</v>
      </c>
      <c r="R165" s="60" t="s">
        <v>114</v>
      </c>
      <c r="S165" s="24">
        <v>45631</v>
      </c>
      <c r="T165" s="25" t="s">
        <v>83</v>
      </c>
      <c r="U165" s="25" t="s">
        <v>83</v>
      </c>
      <c r="V165" s="25" t="s">
        <v>487</v>
      </c>
      <c r="W165" s="52" t="s">
        <v>488</v>
      </c>
      <c r="X165" s="52" t="s">
        <v>83</v>
      </c>
      <c r="Y165" s="53">
        <v>0</v>
      </c>
      <c r="Z165" s="53">
        <v>128.91</v>
      </c>
      <c r="AA165" s="5">
        <v>0</v>
      </c>
    </row>
    <row r="166" spans="12:27" x14ac:dyDescent="0.25">
      <c r="L166" s="54" t="s">
        <v>489</v>
      </c>
      <c r="M166" s="55"/>
      <c r="N166" s="66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6">
        <v>0</v>
      </c>
      <c r="Z166" s="56">
        <v>128.91</v>
      </c>
      <c r="AA166" s="57">
        <v>0</v>
      </c>
    </row>
    <row r="167" spans="12:27" x14ac:dyDescent="0.25">
      <c r="L167" s="25" t="s">
        <v>386</v>
      </c>
      <c r="M167" s="25" t="s">
        <v>387</v>
      </c>
      <c r="N167" s="24">
        <v>45849</v>
      </c>
      <c r="O167" s="25" t="s">
        <v>469</v>
      </c>
      <c r="P167" s="25" t="s">
        <v>470</v>
      </c>
      <c r="Q167" s="25" t="s">
        <v>113</v>
      </c>
      <c r="R167" s="60" t="s">
        <v>114</v>
      </c>
      <c r="S167" s="24">
        <v>45849</v>
      </c>
      <c r="T167" s="25" t="s">
        <v>83</v>
      </c>
      <c r="U167" s="25" t="s">
        <v>83</v>
      </c>
      <c r="V167" s="25" t="s">
        <v>490</v>
      </c>
      <c r="W167" s="52" t="s">
        <v>472</v>
      </c>
      <c r="X167" s="52" t="s">
        <v>83</v>
      </c>
      <c r="Y167" s="53">
        <v>0</v>
      </c>
      <c r="Z167" s="53">
        <v>102.69</v>
      </c>
      <c r="AA167" s="5">
        <v>0</v>
      </c>
    </row>
    <row r="168" spans="12:27" x14ac:dyDescent="0.25">
      <c r="L168" s="54" t="s">
        <v>491</v>
      </c>
      <c r="M168" s="55"/>
      <c r="N168" s="66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6">
        <v>0</v>
      </c>
      <c r="Z168" s="56">
        <v>102.69</v>
      </c>
      <c r="AA168" s="57">
        <v>0</v>
      </c>
    </row>
    <row r="169" spans="12:27" x14ac:dyDescent="0.25">
      <c r="L169" s="23" t="s">
        <v>388</v>
      </c>
      <c r="M169" s="23" t="s">
        <v>389</v>
      </c>
      <c r="N169" s="24">
        <v>45536</v>
      </c>
      <c r="O169" s="25" t="s">
        <v>111</v>
      </c>
      <c r="P169" s="25" t="s">
        <v>492</v>
      </c>
      <c r="Q169" s="25" t="s">
        <v>113</v>
      </c>
      <c r="R169" s="60" t="s">
        <v>114</v>
      </c>
      <c r="S169" s="24">
        <v>45538</v>
      </c>
      <c r="T169" s="25" t="s">
        <v>83</v>
      </c>
      <c r="U169" s="25" t="s">
        <v>83</v>
      </c>
      <c r="V169" s="25" t="s">
        <v>493</v>
      </c>
      <c r="W169" s="52" t="s">
        <v>494</v>
      </c>
      <c r="X169" s="52" t="s">
        <v>83</v>
      </c>
      <c r="Y169" s="53">
        <v>0</v>
      </c>
      <c r="Z169" s="53">
        <v>250</v>
      </c>
      <c r="AA169" s="5">
        <v>0</v>
      </c>
    </row>
    <row r="170" spans="12:27" x14ac:dyDescent="0.25">
      <c r="L170" s="28"/>
      <c r="M170" s="28"/>
      <c r="N170" s="24">
        <v>45590</v>
      </c>
      <c r="O170" s="25" t="s">
        <v>111</v>
      </c>
      <c r="P170" s="25" t="s">
        <v>495</v>
      </c>
      <c r="Q170" s="25" t="s">
        <v>113</v>
      </c>
      <c r="R170" s="60" t="s">
        <v>114</v>
      </c>
      <c r="S170" s="24">
        <v>45590</v>
      </c>
      <c r="T170" s="25" t="s">
        <v>83</v>
      </c>
      <c r="U170" s="25" t="s">
        <v>83</v>
      </c>
      <c r="V170" s="25" t="s">
        <v>496</v>
      </c>
      <c r="W170" s="52" t="s">
        <v>497</v>
      </c>
      <c r="X170" s="52" t="s">
        <v>83</v>
      </c>
      <c r="Y170" s="53">
        <v>0</v>
      </c>
      <c r="Z170" s="53">
        <v>17.7</v>
      </c>
      <c r="AA170" s="5">
        <v>0</v>
      </c>
    </row>
    <row r="171" spans="12:27" x14ac:dyDescent="0.25">
      <c r="L171" s="29"/>
      <c r="M171" s="29"/>
      <c r="N171" s="24">
        <v>45591</v>
      </c>
      <c r="O171" s="25" t="s">
        <v>111</v>
      </c>
      <c r="P171" s="25" t="s">
        <v>498</v>
      </c>
      <c r="Q171" s="25" t="s">
        <v>113</v>
      </c>
      <c r="R171" s="60" t="s">
        <v>114</v>
      </c>
      <c r="S171" s="24">
        <v>45593</v>
      </c>
      <c r="T171" s="25" t="s">
        <v>83</v>
      </c>
      <c r="U171" s="25" t="s">
        <v>83</v>
      </c>
      <c r="V171" s="25" t="s">
        <v>496</v>
      </c>
      <c r="W171" s="52" t="s">
        <v>499</v>
      </c>
      <c r="X171" s="52" t="s">
        <v>83</v>
      </c>
      <c r="Y171" s="53">
        <v>0</v>
      </c>
      <c r="Z171" s="53">
        <v>40.5</v>
      </c>
      <c r="AA171" s="5">
        <v>0</v>
      </c>
    </row>
    <row r="172" spans="12:27" x14ac:dyDescent="0.25">
      <c r="L172" s="54" t="s">
        <v>500</v>
      </c>
      <c r="M172" s="55"/>
      <c r="N172" s="66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6">
        <v>0</v>
      </c>
      <c r="Z172" s="56">
        <v>308.2</v>
      </c>
      <c r="AA172" s="57">
        <v>0</v>
      </c>
    </row>
    <row r="173" spans="12:27" x14ac:dyDescent="0.25">
      <c r="L173" s="25" t="s">
        <v>390</v>
      </c>
      <c r="M173" s="25" t="s">
        <v>391</v>
      </c>
      <c r="N173" s="24">
        <v>45678</v>
      </c>
      <c r="O173" s="25" t="s">
        <v>111</v>
      </c>
      <c r="P173" s="25" t="s">
        <v>501</v>
      </c>
      <c r="Q173" s="25" t="s">
        <v>113</v>
      </c>
      <c r="R173" s="60" t="s">
        <v>114</v>
      </c>
      <c r="S173" s="24">
        <v>45678</v>
      </c>
      <c r="T173" s="25" t="s">
        <v>83</v>
      </c>
      <c r="U173" s="25" t="s">
        <v>83</v>
      </c>
      <c r="V173" s="25" t="s">
        <v>502</v>
      </c>
      <c r="W173" s="52" t="s">
        <v>503</v>
      </c>
      <c r="X173" s="52" t="s">
        <v>83</v>
      </c>
      <c r="Y173" s="53">
        <v>0</v>
      </c>
      <c r="Z173" s="53">
        <v>107.62</v>
      </c>
      <c r="AA173" s="5">
        <v>0</v>
      </c>
    </row>
    <row r="174" spans="12:27" x14ac:dyDescent="0.25">
      <c r="L174" s="54" t="s">
        <v>504</v>
      </c>
      <c r="M174" s="55"/>
      <c r="N174" s="66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6">
        <v>0</v>
      </c>
      <c r="Z174" s="56">
        <v>107.62</v>
      </c>
      <c r="AA174" s="57">
        <v>0</v>
      </c>
    </row>
    <row r="175" spans="12:27" x14ac:dyDescent="0.25">
      <c r="L175" s="23" t="s">
        <v>31</v>
      </c>
      <c r="M175" s="23" t="s">
        <v>32</v>
      </c>
      <c r="N175" s="24">
        <v>45566</v>
      </c>
      <c r="O175" s="25" t="s">
        <v>111</v>
      </c>
      <c r="P175" s="25" t="s">
        <v>505</v>
      </c>
      <c r="Q175" s="25" t="s">
        <v>113</v>
      </c>
      <c r="R175" s="60" t="s">
        <v>114</v>
      </c>
      <c r="S175" s="24">
        <v>45566</v>
      </c>
      <c r="T175" s="25" t="s">
        <v>83</v>
      </c>
      <c r="U175" s="25" t="s">
        <v>83</v>
      </c>
      <c r="V175" s="25" t="s">
        <v>506</v>
      </c>
      <c r="W175" s="52" t="s">
        <v>507</v>
      </c>
      <c r="X175" s="52" t="s">
        <v>83</v>
      </c>
      <c r="Y175" s="53">
        <v>0</v>
      </c>
      <c r="Z175" s="53">
        <v>586.69000000000005</v>
      </c>
      <c r="AA175" s="5">
        <v>0</v>
      </c>
    </row>
    <row r="176" spans="12:27" x14ac:dyDescent="0.25">
      <c r="L176" s="28"/>
      <c r="M176" s="28"/>
      <c r="N176" s="24">
        <v>45628</v>
      </c>
      <c r="O176" s="25" t="s">
        <v>111</v>
      </c>
      <c r="P176" s="25" t="s">
        <v>508</v>
      </c>
      <c r="Q176" s="25" t="s">
        <v>113</v>
      </c>
      <c r="R176" s="60" t="s">
        <v>114</v>
      </c>
      <c r="S176" s="24">
        <v>45628</v>
      </c>
      <c r="T176" s="25" t="s">
        <v>83</v>
      </c>
      <c r="U176" s="25" t="s">
        <v>83</v>
      </c>
      <c r="V176" s="25" t="s">
        <v>509</v>
      </c>
      <c r="W176" s="52" t="s">
        <v>510</v>
      </c>
      <c r="X176" s="52" t="s">
        <v>83</v>
      </c>
      <c r="Y176" s="53">
        <v>0</v>
      </c>
      <c r="Z176" s="53">
        <v>521.72</v>
      </c>
      <c r="AA176" s="5">
        <v>0</v>
      </c>
    </row>
    <row r="177" spans="12:27" x14ac:dyDescent="0.25">
      <c r="L177" s="28"/>
      <c r="M177" s="28"/>
      <c r="N177" s="67">
        <v>45678</v>
      </c>
      <c r="O177" s="23" t="s">
        <v>111</v>
      </c>
      <c r="P177" s="25" t="s">
        <v>511</v>
      </c>
      <c r="Q177" s="25" t="s">
        <v>113</v>
      </c>
      <c r="R177" s="60" t="s">
        <v>114</v>
      </c>
      <c r="S177" s="24">
        <v>45678</v>
      </c>
      <c r="T177" s="25" t="s">
        <v>83</v>
      </c>
      <c r="U177" s="25" t="s">
        <v>83</v>
      </c>
      <c r="V177" s="25" t="s">
        <v>512</v>
      </c>
      <c r="W177" s="52" t="s">
        <v>513</v>
      </c>
      <c r="X177" s="52" t="s">
        <v>83</v>
      </c>
      <c r="Y177" s="53">
        <v>0</v>
      </c>
      <c r="Z177" s="53">
        <v>326.08999999999997</v>
      </c>
      <c r="AA177" s="5">
        <v>0</v>
      </c>
    </row>
    <row r="178" spans="12:27" x14ac:dyDescent="0.25">
      <c r="L178" s="28"/>
      <c r="M178" s="28"/>
      <c r="N178" s="69"/>
      <c r="O178" s="28"/>
      <c r="P178" s="25" t="s">
        <v>514</v>
      </c>
      <c r="Q178" s="25" t="s">
        <v>113</v>
      </c>
      <c r="R178" s="60" t="s">
        <v>114</v>
      </c>
      <c r="S178" s="24">
        <v>45678</v>
      </c>
      <c r="T178" s="25" t="s">
        <v>83</v>
      </c>
      <c r="U178" s="25" t="s">
        <v>83</v>
      </c>
      <c r="V178" s="25" t="s">
        <v>512</v>
      </c>
      <c r="W178" s="52" t="s">
        <v>515</v>
      </c>
      <c r="X178" s="52" t="s">
        <v>83</v>
      </c>
      <c r="Y178" s="53">
        <v>0</v>
      </c>
      <c r="Z178" s="53">
        <v>652.17999999999995</v>
      </c>
      <c r="AA178" s="5">
        <v>0</v>
      </c>
    </row>
    <row r="179" spans="12:27" x14ac:dyDescent="0.25">
      <c r="L179" s="28"/>
      <c r="M179" s="28"/>
      <c r="N179" s="68"/>
      <c r="O179" s="29"/>
      <c r="P179" s="25" t="s">
        <v>516</v>
      </c>
      <c r="Q179" s="25" t="s">
        <v>113</v>
      </c>
      <c r="R179" s="60" t="s">
        <v>114</v>
      </c>
      <c r="S179" s="24">
        <v>45678</v>
      </c>
      <c r="T179" s="25" t="s">
        <v>83</v>
      </c>
      <c r="U179" s="25" t="s">
        <v>83</v>
      </c>
      <c r="V179" s="25" t="s">
        <v>517</v>
      </c>
      <c r="W179" s="52" t="s">
        <v>518</v>
      </c>
      <c r="X179" s="52" t="s">
        <v>83</v>
      </c>
      <c r="Y179" s="53">
        <v>0</v>
      </c>
      <c r="Z179" s="53">
        <v>44.37</v>
      </c>
      <c r="AA179" s="5">
        <v>0</v>
      </c>
    </row>
    <row r="180" spans="12:27" x14ac:dyDescent="0.25">
      <c r="L180" s="28"/>
      <c r="M180" s="28"/>
      <c r="N180" s="24">
        <v>45706</v>
      </c>
      <c r="O180" s="25" t="s">
        <v>111</v>
      </c>
      <c r="P180" s="25" t="s">
        <v>519</v>
      </c>
      <c r="Q180" s="25" t="s">
        <v>113</v>
      </c>
      <c r="R180" s="60" t="s">
        <v>114</v>
      </c>
      <c r="S180" s="24">
        <v>45706</v>
      </c>
      <c r="T180" s="25" t="s">
        <v>83</v>
      </c>
      <c r="U180" s="25" t="s">
        <v>83</v>
      </c>
      <c r="V180" s="25" t="s">
        <v>520</v>
      </c>
      <c r="W180" s="52" t="s">
        <v>521</v>
      </c>
      <c r="X180" s="52" t="s">
        <v>83</v>
      </c>
      <c r="Y180" s="53">
        <v>0</v>
      </c>
      <c r="Z180" s="53">
        <v>139.88999999999999</v>
      </c>
      <c r="AA180" s="5">
        <v>0</v>
      </c>
    </row>
    <row r="181" spans="12:27" x14ac:dyDescent="0.25">
      <c r="L181" s="29"/>
      <c r="M181" s="29"/>
      <c r="N181" s="24">
        <v>45849</v>
      </c>
      <c r="O181" s="25" t="s">
        <v>469</v>
      </c>
      <c r="P181" s="25" t="s">
        <v>470</v>
      </c>
      <c r="Q181" s="25" t="s">
        <v>113</v>
      </c>
      <c r="R181" s="60" t="s">
        <v>114</v>
      </c>
      <c r="S181" s="24">
        <v>45849</v>
      </c>
      <c r="T181" s="25" t="s">
        <v>83</v>
      </c>
      <c r="U181" s="25" t="s">
        <v>83</v>
      </c>
      <c r="V181" s="25" t="s">
        <v>522</v>
      </c>
      <c r="W181" s="52" t="s">
        <v>472</v>
      </c>
      <c r="X181" s="52" t="s">
        <v>83</v>
      </c>
      <c r="Y181" s="53">
        <v>0</v>
      </c>
      <c r="Z181" s="53">
        <v>163.04</v>
      </c>
      <c r="AA181" s="5">
        <v>0</v>
      </c>
    </row>
    <row r="182" spans="12:27" x14ac:dyDescent="0.25">
      <c r="L182" s="54" t="s">
        <v>132</v>
      </c>
      <c r="M182" s="55"/>
      <c r="N182" s="66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6">
        <v>0</v>
      </c>
      <c r="Z182" s="56">
        <v>2433.98</v>
      </c>
      <c r="AA182" s="57">
        <v>0</v>
      </c>
    </row>
    <row r="183" spans="12:27" x14ac:dyDescent="0.25">
      <c r="L183" s="23" t="s">
        <v>33</v>
      </c>
      <c r="M183" s="23" t="s">
        <v>34</v>
      </c>
      <c r="N183" s="24">
        <v>45574</v>
      </c>
      <c r="O183" s="25" t="s">
        <v>111</v>
      </c>
      <c r="P183" s="25" t="s">
        <v>523</v>
      </c>
      <c r="Q183" s="25" t="s">
        <v>113</v>
      </c>
      <c r="R183" s="60" t="s">
        <v>114</v>
      </c>
      <c r="S183" s="24">
        <v>45574</v>
      </c>
      <c r="T183" s="25" t="s">
        <v>83</v>
      </c>
      <c r="U183" s="25" t="s">
        <v>83</v>
      </c>
      <c r="V183" s="25" t="s">
        <v>524</v>
      </c>
      <c r="W183" s="52" t="s">
        <v>525</v>
      </c>
      <c r="X183" s="52" t="s">
        <v>83</v>
      </c>
      <c r="Y183" s="53">
        <v>0</v>
      </c>
      <c r="Z183" s="53">
        <v>202.79</v>
      </c>
      <c r="AA183" s="5">
        <v>0</v>
      </c>
    </row>
    <row r="184" spans="12:27" x14ac:dyDescent="0.25">
      <c r="L184" s="28"/>
      <c r="M184" s="28"/>
      <c r="N184" s="24">
        <v>45575</v>
      </c>
      <c r="O184" s="25" t="s">
        <v>111</v>
      </c>
      <c r="P184" s="25" t="s">
        <v>526</v>
      </c>
      <c r="Q184" s="25" t="s">
        <v>113</v>
      </c>
      <c r="R184" s="60" t="s">
        <v>114</v>
      </c>
      <c r="S184" s="24">
        <v>45575</v>
      </c>
      <c r="T184" s="25" t="s">
        <v>83</v>
      </c>
      <c r="U184" s="25" t="s">
        <v>83</v>
      </c>
      <c r="V184" s="25" t="s">
        <v>527</v>
      </c>
      <c r="W184" s="52" t="s">
        <v>528</v>
      </c>
      <c r="X184" s="52" t="s">
        <v>83</v>
      </c>
      <c r="Y184" s="53">
        <v>0</v>
      </c>
      <c r="Z184" s="53">
        <v>-213.66</v>
      </c>
      <c r="AA184" s="5">
        <v>0</v>
      </c>
    </row>
    <row r="185" spans="12:27" x14ac:dyDescent="0.25">
      <c r="L185" s="28"/>
      <c r="M185" s="28"/>
      <c r="N185" s="24">
        <v>45804</v>
      </c>
      <c r="O185" s="25" t="s">
        <v>154</v>
      </c>
      <c r="P185" s="25" t="s">
        <v>529</v>
      </c>
      <c r="Q185" s="25" t="s">
        <v>113</v>
      </c>
      <c r="R185" s="60" t="s">
        <v>114</v>
      </c>
      <c r="S185" s="24">
        <v>45804</v>
      </c>
      <c r="T185" s="25" t="s">
        <v>530</v>
      </c>
      <c r="U185" s="25" t="s">
        <v>83</v>
      </c>
      <c r="V185" s="25" t="s">
        <v>531</v>
      </c>
      <c r="W185" s="52" t="s">
        <v>532</v>
      </c>
      <c r="X185" s="52" t="s">
        <v>531</v>
      </c>
      <c r="Y185" s="53">
        <v>0</v>
      </c>
      <c r="Z185" s="53">
        <v>0</v>
      </c>
      <c r="AA185" s="5">
        <v>181.78</v>
      </c>
    </row>
    <row r="186" spans="12:27" x14ac:dyDescent="0.25">
      <c r="L186" s="28"/>
      <c r="M186" s="28"/>
      <c r="N186" s="24">
        <v>45813</v>
      </c>
      <c r="O186" s="25" t="s">
        <v>253</v>
      </c>
      <c r="P186" s="25" t="s">
        <v>533</v>
      </c>
      <c r="Q186" s="25" t="s">
        <v>113</v>
      </c>
      <c r="R186" s="60" t="s">
        <v>114</v>
      </c>
      <c r="S186" s="24">
        <v>45813</v>
      </c>
      <c r="T186" s="25" t="s">
        <v>530</v>
      </c>
      <c r="U186" s="25" t="s">
        <v>83</v>
      </c>
      <c r="V186" s="25" t="s">
        <v>531</v>
      </c>
      <c r="W186" s="52" t="s">
        <v>534</v>
      </c>
      <c r="X186" s="52" t="s">
        <v>531</v>
      </c>
      <c r="Y186" s="53">
        <v>0</v>
      </c>
      <c r="Z186" s="53">
        <v>20.97</v>
      </c>
      <c r="AA186" s="5">
        <v>-21.05</v>
      </c>
    </row>
    <row r="187" spans="12:27" x14ac:dyDescent="0.25">
      <c r="L187" s="28"/>
      <c r="M187" s="28"/>
      <c r="N187" s="67">
        <v>45815</v>
      </c>
      <c r="O187" s="23" t="s">
        <v>253</v>
      </c>
      <c r="P187" s="25" t="s">
        <v>535</v>
      </c>
      <c r="Q187" s="25" t="s">
        <v>113</v>
      </c>
      <c r="R187" s="60" t="s">
        <v>114</v>
      </c>
      <c r="S187" s="24">
        <v>45817</v>
      </c>
      <c r="T187" s="25" t="s">
        <v>530</v>
      </c>
      <c r="U187" s="25" t="s">
        <v>83</v>
      </c>
      <c r="V187" s="25" t="s">
        <v>531</v>
      </c>
      <c r="W187" s="52" t="s">
        <v>536</v>
      </c>
      <c r="X187" s="52" t="s">
        <v>531</v>
      </c>
      <c r="Y187" s="53">
        <v>0</v>
      </c>
      <c r="Z187" s="53">
        <v>17.670000000000002</v>
      </c>
      <c r="AA187" s="5">
        <v>-17.739999999999998</v>
      </c>
    </row>
    <row r="188" spans="12:27" x14ac:dyDescent="0.25">
      <c r="L188" s="29"/>
      <c r="M188" s="29"/>
      <c r="N188" s="68"/>
      <c r="O188" s="29"/>
      <c r="P188" s="25" t="s">
        <v>537</v>
      </c>
      <c r="Q188" s="25" t="s">
        <v>113</v>
      </c>
      <c r="R188" s="60" t="s">
        <v>114</v>
      </c>
      <c r="S188" s="24">
        <v>45817</v>
      </c>
      <c r="T188" s="25" t="s">
        <v>530</v>
      </c>
      <c r="U188" s="25" t="s">
        <v>83</v>
      </c>
      <c r="V188" s="25" t="s">
        <v>531</v>
      </c>
      <c r="W188" s="52" t="s">
        <v>538</v>
      </c>
      <c r="X188" s="52" t="s">
        <v>531</v>
      </c>
      <c r="Y188" s="53">
        <v>0</v>
      </c>
      <c r="Z188" s="53">
        <v>142.47999999999999</v>
      </c>
      <c r="AA188" s="5">
        <v>-142.99</v>
      </c>
    </row>
    <row r="189" spans="12:27" x14ac:dyDescent="0.25">
      <c r="L189" s="54" t="s">
        <v>136</v>
      </c>
      <c r="M189" s="55"/>
      <c r="N189" s="66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6">
        <v>0</v>
      </c>
      <c r="Z189" s="56">
        <v>170.25</v>
      </c>
      <c r="AA189" s="57">
        <v>-2.8421709430404001E-14</v>
      </c>
    </row>
    <row r="190" spans="12:27" x14ac:dyDescent="0.25">
      <c r="L190" s="23" t="s">
        <v>37</v>
      </c>
      <c r="M190" s="23" t="s">
        <v>38</v>
      </c>
      <c r="N190" s="24">
        <v>45481</v>
      </c>
      <c r="O190" s="25" t="s">
        <v>154</v>
      </c>
      <c r="P190" s="25" t="s">
        <v>539</v>
      </c>
      <c r="Q190" s="25" t="s">
        <v>113</v>
      </c>
      <c r="R190" s="60" t="s">
        <v>114</v>
      </c>
      <c r="S190" s="24">
        <v>45481</v>
      </c>
      <c r="T190" s="25" t="s">
        <v>540</v>
      </c>
      <c r="U190" s="25" t="s">
        <v>83</v>
      </c>
      <c r="V190" s="25" t="s">
        <v>531</v>
      </c>
      <c r="W190" s="52" t="s">
        <v>541</v>
      </c>
      <c r="X190" s="52" t="s">
        <v>531</v>
      </c>
      <c r="Y190" s="53">
        <v>0</v>
      </c>
      <c r="Z190" s="53">
        <v>0</v>
      </c>
      <c r="AA190" s="5">
        <v>483.35</v>
      </c>
    </row>
    <row r="191" spans="12:27" x14ac:dyDescent="0.25">
      <c r="L191" s="28"/>
      <c r="M191" s="28"/>
      <c r="N191" s="67">
        <v>45482</v>
      </c>
      <c r="O191" s="23" t="s">
        <v>111</v>
      </c>
      <c r="P191" s="25" t="s">
        <v>542</v>
      </c>
      <c r="Q191" s="25" t="s">
        <v>113</v>
      </c>
      <c r="R191" s="60" t="s">
        <v>114</v>
      </c>
      <c r="S191" s="24">
        <v>45482</v>
      </c>
      <c r="T191" s="25" t="s">
        <v>83</v>
      </c>
      <c r="U191" s="25" t="s">
        <v>83</v>
      </c>
      <c r="V191" s="25" t="s">
        <v>543</v>
      </c>
      <c r="W191" s="52" t="s">
        <v>544</v>
      </c>
      <c r="X191" s="52" t="s">
        <v>83</v>
      </c>
      <c r="Y191" s="53">
        <v>0</v>
      </c>
      <c r="Z191" s="53">
        <v>2500</v>
      </c>
      <c r="AA191" s="5">
        <v>0</v>
      </c>
    </row>
    <row r="192" spans="12:27" x14ac:dyDescent="0.25">
      <c r="L192" s="28"/>
      <c r="M192" s="28"/>
      <c r="N192" s="69"/>
      <c r="O192" s="28"/>
      <c r="P192" s="25" t="s">
        <v>545</v>
      </c>
      <c r="Q192" s="25" t="s">
        <v>113</v>
      </c>
      <c r="R192" s="60" t="s">
        <v>114</v>
      </c>
      <c r="S192" s="24">
        <v>45482</v>
      </c>
      <c r="T192" s="25" t="s">
        <v>83</v>
      </c>
      <c r="U192" s="25" t="s">
        <v>83</v>
      </c>
      <c r="V192" s="25" t="s">
        <v>543</v>
      </c>
      <c r="W192" s="52" t="s">
        <v>546</v>
      </c>
      <c r="X192" s="52" t="s">
        <v>83</v>
      </c>
      <c r="Y192" s="53">
        <v>0</v>
      </c>
      <c r="Z192" s="53">
        <v>16.28</v>
      </c>
      <c r="AA192" s="5">
        <v>0</v>
      </c>
    </row>
    <row r="193" spans="12:27" x14ac:dyDescent="0.25">
      <c r="L193" s="28"/>
      <c r="M193" s="28"/>
      <c r="N193" s="69"/>
      <c r="O193" s="28"/>
      <c r="P193" s="25" t="s">
        <v>547</v>
      </c>
      <c r="Q193" s="25" t="s">
        <v>113</v>
      </c>
      <c r="R193" s="60" t="s">
        <v>114</v>
      </c>
      <c r="S193" s="24">
        <v>45482</v>
      </c>
      <c r="T193" s="25" t="s">
        <v>83</v>
      </c>
      <c r="U193" s="25" t="s">
        <v>83</v>
      </c>
      <c r="V193" s="25" t="s">
        <v>543</v>
      </c>
      <c r="W193" s="52" t="s">
        <v>548</v>
      </c>
      <c r="X193" s="52" t="s">
        <v>83</v>
      </c>
      <c r="Y193" s="53">
        <v>0</v>
      </c>
      <c r="Z193" s="53">
        <v>23.9</v>
      </c>
      <c r="AA193" s="5">
        <v>0</v>
      </c>
    </row>
    <row r="194" spans="12:27" x14ac:dyDescent="0.25">
      <c r="L194" s="28"/>
      <c r="M194" s="28"/>
      <c r="N194" s="68"/>
      <c r="O194" s="29"/>
      <c r="P194" s="25" t="s">
        <v>549</v>
      </c>
      <c r="Q194" s="25" t="s">
        <v>113</v>
      </c>
      <c r="R194" s="60" t="s">
        <v>114</v>
      </c>
      <c r="S194" s="24">
        <v>45482</v>
      </c>
      <c r="T194" s="25" t="s">
        <v>83</v>
      </c>
      <c r="U194" s="25" t="s">
        <v>83</v>
      </c>
      <c r="V194" s="25" t="s">
        <v>543</v>
      </c>
      <c r="W194" s="52" t="s">
        <v>550</v>
      </c>
      <c r="X194" s="52" t="s">
        <v>83</v>
      </c>
      <c r="Y194" s="53">
        <v>0</v>
      </c>
      <c r="Z194" s="53">
        <v>361.83</v>
      </c>
      <c r="AA194" s="5">
        <v>0</v>
      </c>
    </row>
    <row r="195" spans="12:27" x14ac:dyDescent="0.25">
      <c r="L195" s="28"/>
      <c r="M195" s="28"/>
      <c r="N195" s="67">
        <v>45485</v>
      </c>
      <c r="O195" s="23" t="s">
        <v>253</v>
      </c>
      <c r="P195" s="25" t="s">
        <v>551</v>
      </c>
      <c r="Q195" s="25" t="s">
        <v>113</v>
      </c>
      <c r="R195" s="60" t="s">
        <v>114</v>
      </c>
      <c r="S195" s="24">
        <v>45485</v>
      </c>
      <c r="T195" s="25" t="s">
        <v>540</v>
      </c>
      <c r="U195" s="25" t="s">
        <v>83</v>
      </c>
      <c r="V195" s="25" t="s">
        <v>531</v>
      </c>
      <c r="W195" s="52" t="s">
        <v>552</v>
      </c>
      <c r="X195" s="52" t="s">
        <v>531</v>
      </c>
      <c r="Y195" s="53">
        <v>0</v>
      </c>
      <c r="Z195" s="53">
        <v>519.02</v>
      </c>
      <c r="AA195" s="5">
        <v>-477.49</v>
      </c>
    </row>
    <row r="196" spans="12:27" x14ac:dyDescent="0.25">
      <c r="L196" s="28"/>
      <c r="M196" s="28"/>
      <c r="N196" s="68"/>
      <c r="O196" s="29"/>
      <c r="P196" s="25" t="s">
        <v>553</v>
      </c>
      <c r="Q196" s="25" t="s">
        <v>113</v>
      </c>
      <c r="R196" s="60" t="s">
        <v>114</v>
      </c>
      <c r="S196" s="24">
        <v>45485</v>
      </c>
      <c r="T196" s="25" t="s">
        <v>540</v>
      </c>
      <c r="U196" s="25" t="s">
        <v>83</v>
      </c>
      <c r="V196" s="25" t="s">
        <v>531</v>
      </c>
      <c r="W196" s="52" t="s">
        <v>554</v>
      </c>
      <c r="X196" s="52" t="s">
        <v>531</v>
      </c>
      <c r="Y196" s="53">
        <v>0</v>
      </c>
      <c r="Z196" s="53">
        <v>6.37</v>
      </c>
      <c r="AA196" s="5">
        <v>-5.86</v>
      </c>
    </row>
    <row r="197" spans="12:27" x14ac:dyDescent="0.25">
      <c r="L197" s="28"/>
      <c r="M197" s="28"/>
      <c r="N197" s="67">
        <v>45495</v>
      </c>
      <c r="O197" s="23" t="s">
        <v>154</v>
      </c>
      <c r="P197" s="25" t="s">
        <v>555</v>
      </c>
      <c r="Q197" s="25" t="s">
        <v>113</v>
      </c>
      <c r="R197" s="60" t="s">
        <v>114</v>
      </c>
      <c r="S197" s="24">
        <v>45495</v>
      </c>
      <c r="T197" s="25" t="s">
        <v>556</v>
      </c>
      <c r="U197" s="25" t="s">
        <v>83</v>
      </c>
      <c r="V197" s="25" t="s">
        <v>531</v>
      </c>
      <c r="W197" s="52" t="s">
        <v>557</v>
      </c>
      <c r="X197" s="52" t="s">
        <v>531</v>
      </c>
      <c r="Y197" s="53">
        <v>0</v>
      </c>
      <c r="Z197" s="53">
        <v>0</v>
      </c>
      <c r="AA197" s="5">
        <v>1186.9000000000001</v>
      </c>
    </row>
    <row r="198" spans="12:27" x14ac:dyDescent="0.25">
      <c r="L198" s="28"/>
      <c r="M198" s="28"/>
      <c r="N198" s="69"/>
      <c r="O198" s="28"/>
      <c r="P198" s="25" t="s">
        <v>558</v>
      </c>
      <c r="Q198" s="25" t="s">
        <v>113</v>
      </c>
      <c r="R198" s="60" t="s">
        <v>114</v>
      </c>
      <c r="S198" s="24">
        <v>45495</v>
      </c>
      <c r="T198" s="25" t="s">
        <v>559</v>
      </c>
      <c r="U198" s="25" t="s">
        <v>83</v>
      </c>
      <c r="V198" s="25" t="s">
        <v>560</v>
      </c>
      <c r="W198" s="52" t="s">
        <v>561</v>
      </c>
      <c r="X198" s="52" t="s">
        <v>560</v>
      </c>
      <c r="Y198" s="53">
        <v>0</v>
      </c>
      <c r="Z198" s="53">
        <v>0</v>
      </c>
      <c r="AA198" s="5">
        <v>12708.18</v>
      </c>
    </row>
    <row r="199" spans="12:27" x14ac:dyDescent="0.25">
      <c r="L199" s="28"/>
      <c r="M199" s="28"/>
      <c r="N199" s="68"/>
      <c r="O199" s="29"/>
      <c r="P199" s="25" t="s">
        <v>562</v>
      </c>
      <c r="Q199" s="25" t="s">
        <v>113</v>
      </c>
      <c r="R199" s="60" t="s">
        <v>114</v>
      </c>
      <c r="S199" s="24">
        <v>45495</v>
      </c>
      <c r="T199" s="25" t="s">
        <v>563</v>
      </c>
      <c r="U199" s="25" t="s">
        <v>83</v>
      </c>
      <c r="V199" s="25" t="s">
        <v>564</v>
      </c>
      <c r="W199" s="52" t="s">
        <v>565</v>
      </c>
      <c r="X199" s="52" t="s">
        <v>564</v>
      </c>
      <c r="Y199" s="53">
        <v>0</v>
      </c>
      <c r="Z199" s="53">
        <v>0</v>
      </c>
      <c r="AA199" s="5">
        <v>321.85000000000002</v>
      </c>
    </row>
    <row r="200" spans="12:27" x14ac:dyDescent="0.25">
      <c r="L200" s="28"/>
      <c r="M200" s="28"/>
      <c r="N200" s="67">
        <v>45497</v>
      </c>
      <c r="O200" s="23" t="s">
        <v>154</v>
      </c>
      <c r="P200" s="25" t="s">
        <v>566</v>
      </c>
      <c r="Q200" s="25" t="s">
        <v>113</v>
      </c>
      <c r="R200" s="60" t="s">
        <v>114</v>
      </c>
      <c r="S200" s="24">
        <v>45497</v>
      </c>
      <c r="T200" s="25" t="s">
        <v>567</v>
      </c>
      <c r="U200" s="25" t="s">
        <v>83</v>
      </c>
      <c r="V200" s="25" t="s">
        <v>568</v>
      </c>
      <c r="W200" s="52" t="s">
        <v>569</v>
      </c>
      <c r="X200" s="52" t="s">
        <v>568</v>
      </c>
      <c r="Y200" s="53">
        <v>0</v>
      </c>
      <c r="Z200" s="53">
        <v>0</v>
      </c>
      <c r="AA200" s="5">
        <v>446.2</v>
      </c>
    </row>
    <row r="201" spans="12:27" x14ac:dyDescent="0.25">
      <c r="L201" s="28"/>
      <c r="M201" s="28"/>
      <c r="N201" s="69"/>
      <c r="O201" s="29"/>
      <c r="P201" s="25" t="s">
        <v>570</v>
      </c>
      <c r="Q201" s="25" t="s">
        <v>113</v>
      </c>
      <c r="R201" s="60" t="s">
        <v>114</v>
      </c>
      <c r="S201" s="24">
        <v>45497</v>
      </c>
      <c r="T201" s="25" t="s">
        <v>571</v>
      </c>
      <c r="U201" s="25" t="s">
        <v>83</v>
      </c>
      <c r="V201" s="25" t="s">
        <v>572</v>
      </c>
      <c r="W201" s="52" t="s">
        <v>573</v>
      </c>
      <c r="X201" s="52" t="s">
        <v>572</v>
      </c>
      <c r="Y201" s="53">
        <v>0</v>
      </c>
      <c r="Z201" s="53">
        <v>0</v>
      </c>
      <c r="AA201" s="5">
        <v>5240.33</v>
      </c>
    </row>
    <row r="202" spans="12:27" x14ac:dyDescent="0.25">
      <c r="L202" s="28"/>
      <c r="M202" s="28"/>
      <c r="N202" s="68"/>
      <c r="O202" s="25" t="s">
        <v>253</v>
      </c>
      <c r="P202" s="25" t="s">
        <v>574</v>
      </c>
      <c r="Q202" s="25" t="s">
        <v>113</v>
      </c>
      <c r="R202" s="60" t="s">
        <v>114</v>
      </c>
      <c r="S202" s="24">
        <v>45497</v>
      </c>
      <c r="T202" s="25" t="s">
        <v>556</v>
      </c>
      <c r="U202" s="25" t="s">
        <v>83</v>
      </c>
      <c r="V202" s="25" t="s">
        <v>531</v>
      </c>
      <c r="W202" s="52" t="s">
        <v>575</v>
      </c>
      <c r="X202" s="52" t="s">
        <v>531</v>
      </c>
      <c r="Y202" s="53">
        <v>0</v>
      </c>
      <c r="Z202" s="53">
        <v>1182.55</v>
      </c>
      <c r="AA202" s="5">
        <v>-1186.9000000000001</v>
      </c>
    </row>
    <row r="203" spans="12:27" x14ac:dyDescent="0.25">
      <c r="L203" s="28"/>
      <c r="M203" s="28"/>
      <c r="N203" s="24">
        <v>45499</v>
      </c>
      <c r="O203" s="25" t="s">
        <v>159</v>
      </c>
      <c r="P203" s="25" t="s">
        <v>576</v>
      </c>
      <c r="Q203" s="25" t="s">
        <v>113</v>
      </c>
      <c r="R203" s="60" t="s">
        <v>114</v>
      </c>
      <c r="S203" s="24">
        <v>45499</v>
      </c>
      <c r="T203" s="25" t="s">
        <v>567</v>
      </c>
      <c r="U203" s="25" t="s">
        <v>83</v>
      </c>
      <c r="V203" s="25" t="s">
        <v>568</v>
      </c>
      <c r="W203" s="52" t="s">
        <v>577</v>
      </c>
      <c r="X203" s="52" t="s">
        <v>568</v>
      </c>
      <c r="Y203" s="53">
        <v>0</v>
      </c>
      <c r="Z203" s="53">
        <v>167.92</v>
      </c>
      <c r="AA203" s="5">
        <v>-169.32</v>
      </c>
    </row>
    <row r="204" spans="12:27" x14ac:dyDescent="0.25">
      <c r="L204" s="28"/>
      <c r="M204" s="28"/>
      <c r="N204" s="67">
        <v>45501</v>
      </c>
      <c r="O204" s="23" t="s">
        <v>111</v>
      </c>
      <c r="P204" s="25" t="s">
        <v>578</v>
      </c>
      <c r="Q204" s="25" t="s">
        <v>113</v>
      </c>
      <c r="R204" s="60" t="s">
        <v>114</v>
      </c>
      <c r="S204" s="24">
        <v>45502</v>
      </c>
      <c r="T204" s="25" t="s">
        <v>83</v>
      </c>
      <c r="U204" s="25" t="s">
        <v>83</v>
      </c>
      <c r="V204" s="25" t="s">
        <v>579</v>
      </c>
      <c r="W204" s="52" t="s">
        <v>580</v>
      </c>
      <c r="X204" s="52" t="s">
        <v>83</v>
      </c>
      <c r="Y204" s="53">
        <v>0</v>
      </c>
      <c r="Z204" s="53">
        <v>127.12</v>
      </c>
      <c r="AA204" s="5">
        <v>0</v>
      </c>
    </row>
    <row r="205" spans="12:27" x14ac:dyDescent="0.25">
      <c r="L205" s="28"/>
      <c r="M205" s="28"/>
      <c r="N205" s="69"/>
      <c r="O205" s="28"/>
      <c r="P205" s="25" t="s">
        <v>581</v>
      </c>
      <c r="Q205" s="25" t="s">
        <v>113</v>
      </c>
      <c r="R205" s="60" t="s">
        <v>114</v>
      </c>
      <c r="S205" s="24">
        <v>45502</v>
      </c>
      <c r="T205" s="25" t="s">
        <v>83</v>
      </c>
      <c r="U205" s="25" t="s">
        <v>83</v>
      </c>
      <c r="V205" s="25" t="s">
        <v>579</v>
      </c>
      <c r="W205" s="52" t="s">
        <v>582</v>
      </c>
      <c r="X205" s="52" t="s">
        <v>83</v>
      </c>
      <c r="Y205" s="53">
        <v>0</v>
      </c>
      <c r="Z205" s="53">
        <v>114.6</v>
      </c>
      <c r="AA205" s="5">
        <v>0</v>
      </c>
    </row>
    <row r="206" spans="12:27" x14ac:dyDescent="0.25">
      <c r="L206" s="28"/>
      <c r="M206" s="28"/>
      <c r="N206" s="69"/>
      <c r="O206" s="28"/>
      <c r="P206" s="25" t="s">
        <v>583</v>
      </c>
      <c r="Q206" s="25" t="s">
        <v>113</v>
      </c>
      <c r="R206" s="60" t="s">
        <v>114</v>
      </c>
      <c r="S206" s="24">
        <v>45502</v>
      </c>
      <c r="T206" s="25" t="s">
        <v>83</v>
      </c>
      <c r="U206" s="25" t="s">
        <v>83</v>
      </c>
      <c r="V206" s="25" t="s">
        <v>579</v>
      </c>
      <c r="W206" s="52" t="s">
        <v>584</v>
      </c>
      <c r="X206" s="52" t="s">
        <v>83</v>
      </c>
      <c r="Y206" s="53">
        <v>0</v>
      </c>
      <c r="Z206" s="53">
        <v>406.98</v>
      </c>
      <c r="AA206" s="5">
        <v>0</v>
      </c>
    </row>
    <row r="207" spans="12:27" x14ac:dyDescent="0.25">
      <c r="L207" s="28"/>
      <c r="M207" s="28"/>
      <c r="N207" s="69"/>
      <c r="O207" s="28"/>
      <c r="P207" s="25" t="s">
        <v>585</v>
      </c>
      <c r="Q207" s="25" t="s">
        <v>113</v>
      </c>
      <c r="R207" s="60" t="s">
        <v>114</v>
      </c>
      <c r="S207" s="24">
        <v>45502</v>
      </c>
      <c r="T207" s="25" t="s">
        <v>83</v>
      </c>
      <c r="U207" s="25" t="s">
        <v>83</v>
      </c>
      <c r="V207" s="25" t="s">
        <v>579</v>
      </c>
      <c r="W207" s="52" t="s">
        <v>586</v>
      </c>
      <c r="X207" s="52" t="s">
        <v>83</v>
      </c>
      <c r="Y207" s="53">
        <v>0</v>
      </c>
      <c r="Z207" s="53">
        <v>28.25</v>
      </c>
      <c r="AA207" s="5">
        <v>0</v>
      </c>
    </row>
    <row r="208" spans="12:27" x14ac:dyDescent="0.25">
      <c r="L208" s="28"/>
      <c r="M208" s="28"/>
      <c r="N208" s="69"/>
      <c r="O208" s="28"/>
      <c r="P208" s="25" t="s">
        <v>587</v>
      </c>
      <c r="Q208" s="25" t="s">
        <v>113</v>
      </c>
      <c r="R208" s="60" t="s">
        <v>114</v>
      </c>
      <c r="S208" s="24">
        <v>45502</v>
      </c>
      <c r="T208" s="25" t="s">
        <v>83</v>
      </c>
      <c r="U208" s="25" t="s">
        <v>83</v>
      </c>
      <c r="V208" s="25" t="s">
        <v>579</v>
      </c>
      <c r="W208" s="52" t="s">
        <v>588</v>
      </c>
      <c r="X208" s="52" t="s">
        <v>83</v>
      </c>
      <c r="Y208" s="53">
        <v>0</v>
      </c>
      <c r="Z208" s="53">
        <v>1350</v>
      </c>
      <c r="AA208" s="5">
        <v>0</v>
      </c>
    </row>
    <row r="209" spans="12:27" x14ac:dyDescent="0.25">
      <c r="L209" s="28"/>
      <c r="M209" s="28"/>
      <c r="N209" s="68"/>
      <c r="O209" s="29"/>
      <c r="P209" s="25" t="s">
        <v>589</v>
      </c>
      <c r="Q209" s="25" t="s">
        <v>113</v>
      </c>
      <c r="R209" s="60" t="s">
        <v>114</v>
      </c>
      <c r="S209" s="24">
        <v>45502</v>
      </c>
      <c r="T209" s="25" t="s">
        <v>83</v>
      </c>
      <c r="U209" s="25" t="s">
        <v>83</v>
      </c>
      <c r="V209" s="25" t="s">
        <v>579</v>
      </c>
      <c r="W209" s="52" t="s">
        <v>590</v>
      </c>
      <c r="X209" s="52" t="s">
        <v>83</v>
      </c>
      <c r="Y209" s="53">
        <v>0</v>
      </c>
      <c r="Z209" s="53">
        <v>166.75</v>
      </c>
      <c r="AA209" s="5">
        <v>0</v>
      </c>
    </row>
    <row r="210" spans="12:27" x14ac:dyDescent="0.25">
      <c r="L210" s="28"/>
      <c r="M210" s="28"/>
      <c r="N210" s="24">
        <v>45502</v>
      </c>
      <c r="O210" s="25" t="s">
        <v>253</v>
      </c>
      <c r="P210" s="25" t="s">
        <v>591</v>
      </c>
      <c r="Q210" s="25" t="s">
        <v>113</v>
      </c>
      <c r="R210" s="60" t="s">
        <v>114</v>
      </c>
      <c r="S210" s="24">
        <v>45502</v>
      </c>
      <c r="T210" s="25" t="s">
        <v>559</v>
      </c>
      <c r="U210" s="25" t="s">
        <v>83</v>
      </c>
      <c r="V210" s="25" t="s">
        <v>560</v>
      </c>
      <c r="W210" s="52" t="s">
        <v>592</v>
      </c>
      <c r="X210" s="52" t="s">
        <v>560</v>
      </c>
      <c r="Y210" s="53">
        <v>0</v>
      </c>
      <c r="Z210" s="53">
        <v>12591.69</v>
      </c>
      <c r="AA210" s="5">
        <v>-12708.18</v>
      </c>
    </row>
    <row r="211" spans="12:27" x14ac:dyDescent="0.25">
      <c r="L211" s="28"/>
      <c r="M211" s="28"/>
      <c r="N211" s="67">
        <v>45503</v>
      </c>
      <c r="O211" s="25" t="s">
        <v>154</v>
      </c>
      <c r="P211" s="25" t="s">
        <v>593</v>
      </c>
      <c r="Q211" s="25" t="s">
        <v>113</v>
      </c>
      <c r="R211" s="60" t="s">
        <v>114</v>
      </c>
      <c r="S211" s="24">
        <v>45503</v>
      </c>
      <c r="T211" s="25" t="s">
        <v>594</v>
      </c>
      <c r="U211" s="25" t="s">
        <v>83</v>
      </c>
      <c r="V211" s="25" t="s">
        <v>572</v>
      </c>
      <c r="W211" s="52" t="s">
        <v>595</v>
      </c>
      <c r="X211" s="52" t="s">
        <v>572</v>
      </c>
      <c r="Y211" s="53">
        <v>0</v>
      </c>
      <c r="Z211" s="53">
        <v>0</v>
      </c>
      <c r="AA211" s="5">
        <v>115.65</v>
      </c>
    </row>
    <row r="212" spans="12:27" x14ac:dyDescent="0.25">
      <c r="L212" s="28"/>
      <c r="M212" s="28"/>
      <c r="N212" s="69"/>
      <c r="O212" s="25" t="s">
        <v>159</v>
      </c>
      <c r="P212" s="25" t="s">
        <v>596</v>
      </c>
      <c r="Q212" s="25" t="s">
        <v>113</v>
      </c>
      <c r="R212" s="60" t="s">
        <v>114</v>
      </c>
      <c r="S212" s="24">
        <v>45503</v>
      </c>
      <c r="T212" s="25" t="s">
        <v>563</v>
      </c>
      <c r="U212" s="25" t="s">
        <v>83</v>
      </c>
      <c r="V212" s="25" t="s">
        <v>564</v>
      </c>
      <c r="W212" s="52" t="s">
        <v>597</v>
      </c>
      <c r="X212" s="52" t="s">
        <v>564</v>
      </c>
      <c r="Y212" s="53">
        <v>0</v>
      </c>
      <c r="Z212" s="53">
        <v>394.06</v>
      </c>
      <c r="AA212" s="5">
        <v>-321.85000000000002</v>
      </c>
    </row>
    <row r="213" spans="12:27" x14ac:dyDescent="0.25">
      <c r="L213" s="28"/>
      <c r="M213" s="28"/>
      <c r="N213" s="68"/>
      <c r="O213" s="25" t="s">
        <v>253</v>
      </c>
      <c r="P213" s="25" t="s">
        <v>598</v>
      </c>
      <c r="Q213" s="25" t="s">
        <v>113</v>
      </c>
      <c r="R213" s="60" t="s">
        <v>114</v>
      </c>
      <c r="S213" s="24">
        <v>45503</v>
      </c>
      <c r="T213" s="25" t="s">
        <v>571</v>
      </c>
      <c r="U213" s="25" t="s">
        <v>599</v>
      </c>
      <c r="V213" s="25" t="s">
        <v>572</v>
      </c>
      <c r="W213" s="52" t="s">
        <v>600</v>
      </c>
      <c r="X213" s="52" t="s">
        <v>572</v>
      </c>
      <c r="Y213" s="53">
        <v>0</v>
      </c>
      <c r="Z213" s="53">
        <v>422.61</v>
      </c>
      <c r="AA213" s="5">
        <v>-426.59</v>
      </c>
    </row>
    <row r="214" spans="12:27" x14ac:dyDescent="0.25">
      <c r="L214" s="28"/>
      <c r="M214" s="28"/>
      <c r="N214" s="67">
        <v>45505</v>
      </c>
      <c r="O214" s="23" t="s">
        <v>253</v>
      </c>
      <c r="P214" s="25" t="s">
        <v>601</v>
      </c>
      <c r="Q214" s="25" t="s">
        <v>113</v>
      </c>
      <c r="R214" s="60" t="s">
        <v>114</v>
      </c>
      <c r="S214" s="24">
        <v>45505</v>
      </c>
      <c r="T214" s="25" t="s">
        <v>571</v>
      </c>
      <c r="U214" s="25" t="s">
        <v>602</v>
      </c>
      <c r="V214" s="25" t="s">
        <v>572</v>
      </c>
      <c r="W214" s="52" t="s">
        <v>603</v>
      </c>
      <c r="X214" s="52" t="s">
        <v>572</v>
      </c>
      <c r="Y214" s="53">
        <v>0</v>
      </c>
      <c r="Z214" s="53">
        <v>1338.64</v>
      </c>
      <c r="AA214" s="5">
        <v>-1365.94</v>
      </c>
    </row>
    <row r="215" spans="12:27" x14ac:dyDescent="0.25">
      <c r="L215" s="28"/>
      <c r="M215" s="28"/>
      <c r="N215" s="68"/>
      <c r="O215" s="29"/>
      <c r="P215" s="25" t="s">
        <v>604</v>
      </c>
      <c r="Q215" s="25" t="s">
        <v>113</v>
      </c>
      <c r="R215" s="60" t="s">
        <v>114</v>
      </c>
      <c r="S215" s="24">
        <v>45505</v>
      </c>
      <c r="T215" s="25" t="s">
        <v>571</v>
      </c>
      <c r="U215" s="25" t="s">
        <v>605</v>
      </c>
      <c r="V215" s="25" t="s">
        <v>572</v>
      </c>
      <c r="W215" s="52" t="s">
        <v>606</v>
      </c>
      <c r="X215" s="52" t="s">
        <v>572</v>
      </c>
      <c r="Y215" s="53">
        <v>0</v>
      </c>
      <c r="Z215" s="53">
        <v>427.5</v>
      </c>
      <c r="AA215" s="5">
        <v>-439.68</v>
      </c>
    </row>
    <row r="216" spans="12:27" x14ac:dyDescent="0.25">
      <c r="L216" s="28"/>
      <c r="M216" s="28"/>
      <c r="N216" s="67">
        <v>45510</v>
      </c>
      <c r="O216" s="23" t="s">
        <v>253</v>
      </c>
      <c r="P216" s="25" t="s">
        <v>607</v>
      </c>
      <c r="Q216" s="25" t="s">
        <v>113</v>
      </c>
      <c r="R216" s="60" t="s">
        <v>114</v>
      </c>
      <c r="S216" s="24">
        <v>45510</v>
      </c>
      <c r="T216" s="25" t="s">
        <v>594</v>
      </c>
      <c r="U216" s="25" t="s">
        <v>608</v>
      </c>
      <c r="V216" s="25" t="s">
        <v>572</v>
      </c>
      <c r="W216" s="52" t="s">
        <v>609</v>
      </c>
      <c r="X216" s="52" t="s">
        <v>572</v>
      </c>
      <c r="Y216" s="53">
        <v>0</v>
      </c>
      <c r="Z216" s="53">
        <v>134.94</v>
      </c>
      <c r="AA216" s="5">
        <v>-115.65</v>
      </c>
    </row>
    <row r="217" spans="12:27" x14ac:dyDescent="0.25">
      <c r="L217" s="28"/>
      <c r="M217" s="28"/>
      <c r="N217" s="68"/>
      <c r="O217" s="29"/>
      <c r="P217" s="25" t="s">
        <v>610</v>
      </c>
      <c r="Q217" s="25" t="s">
        <v>113</v>
      </c>
      <c r="R217" s="60" t="s">
        <v>114</v>
      </c>
      <c r="S217" s="24">
        <v>45510</v>
      </c>
      <c r="T217" s="25" t="s">
        <v>571</v>
      </c>
      <c r="U217" s="25" t="s">
        <v>611</v>
      </c>
      <c r="V217" s="25" t="s">
        <v>572</v>
      </c>
      <c r="W217" s="52" t="s">
        <v>612</v>
      </c>
      <c r="X217" s="52" t="s">
        <v>572</v>
      </c>
      <c r="Y217" s="53">
        <v>0</v>
      </c>
      <c r="Z217" s="53">
        <v>1518.67</v>
      </c>
      <c r="AA217" s="5">
        <v>-1556.33</v>
      </c>
    </row>
    <row r="218" spans="12:27" x14ac:dyDescent="0.25">
      <c r="L218" s="28"/>
      <c r="M218" s="28"/>
      <c r="N218" s="24">
        <v>45512</v>
      </c>
      <c r="O218" s="25" t="s">
        <v>253</v>
      </c>
      <c r="P218" s="25" t="s">
        <v>613</v>
      </c>
      <c r="Q218" s="25" t="s">
        <v>113</v>
      </c>
      <c r="R218" s="60" t="s">
        <v>114</v>
      </c>
      <c r="S218" s="24">
        <v>45512</v>
      </c>
      <c r="T218" s="25" t="s">
        <v>571</v>
      </c>
      <c r="U218" s="25" t="s">
        <v>614</v>
      </c>
      <c r="V218" s="25" t="s">
        <v>572</v>
      </c>
      <c r="W218" s="52" t="s">
        <v>615</v>
      </c>
      <c r="X218" s="52" t="s">
        <v>572</v>
      </c>
      <c r="Y218" s="53">
        <v>0</v>
      </c>
      <c r="Z218" s="53">
        <v>493.95</v>
      </c>
      <c r="AA218" s="5">
        <v>-498.59</v>
      </c>
    </row>
    <row r="219" spans="12:27" x14ac:dyDescent="0.25">
      <c r="L219" s="28"/>
      <c r="M219" s="28"/>
      <c r="N219" s="67">
        <v>45514</v>
      </c>
      <c r="O219" s="23" t="s">
        <v>111</v>
      </c>
      <c r="P219" s="25" t="s">
        <v>616</v>
      </c>
      <c r="Q219" s="25" t="s">
        <v>113</v>
      </c>
      <c r="R219" s="60" t="s">
        <v>114</v>
      </c>
      <c r="S219" s="24">
        <v>45516</v>
      </c>
      <c r="T219" s="25" t="s">
        <v>83</v>
      </c>
      <c r="U219" s="25" t="s">
        <v>83</v>
      </c>
      <c r="V219" s="25" t="s">
        <v>579</v>
      </c>
      <c r="W219" s="52" t="s">
        <v>617</v>
      </c>
      <c r="X219" s="52" t="s">
        <v>83</v>
      </c>
      <c r="Y219" s="53">
        <v>0</v>
      </c>
      <c r="Z219" s="53">
        <v>2428</v>
      </c>
      <c r="AA219" s="5">
        <v>0</v>
      </c>
    </row>
    <row r="220" spans="12:27" x14ac:dyDescent="0.25">
      <c r="L220" s="28"/>
      <c r="M220" s="28"/>
      <c r="N220" s="69"/>
      <c r="O220" s="28"/>
      <c r="P220" s="25" t="s">
        <v>618</v>
      </c>
      <c r="Q220" s="25" t="s">
        <v>113</v>
      </c>
      <c r="R220" s="60" t="s">
        <v>114</v>
      </c>
      <c r="S220" s="24">
        <v>45516</v>
      </c>
      <c r="T220" s="25" t="s">
        <v>83</v>
      </c>
      <c r="U220" s="25" t="s">
        <v>83</v>
      </c>
      <c r="V220" s="25" t="s">
        <v>579</v>
      </c>
      <c r="W220" s="52" t="s">
        <v>619</v>
      </c>
      <c r="X220" s="52" t="s">
        <v>83</v>
      </c>
      <c r="Y220" s="53">
        <v>0</v>
      </c>
      <c r="Z220" s="53">
        <v>141.26</v>
      </c>
      <c r="AA220" s="5">
        <v>0</v>
      </c>
    </row>
    <row r="221" spans="12:27" x14ac:dyDescent="0.25">
      <c r="L221" s="28"/>
      <c r="M221" s="28"/>
      <c r="N221" s="68"/>
      <c r="O221" s="29"/>
      <c r="P221" s="25" t="s">
        <v>620</v>
      </c>
      <c r="Q221" s="25" t="s">
        <v>113</v>
      </c>
      <c r="R221" s="60" t="s">
        <v>114</v>
      </c>
      <c r="S221" s="24">
        <v>45516</v>
      </c>
      <c r="T221" s="25" t="s">
        <v>83</v>
      </c>
      <c r="U221" s="25" t="s">
        <v>83</v>
      </c>
      <c r="V221" s="25" t="s">
        <v>579</v>
      </c>
      <c r="W221" s="52" t="s">
        <v>621</v>
      </c>
      <c r="X221" s="52" t="s">
        <v>83</v>
      </c>
      <c r="Y221" s="53">
        <v>0</v>
      </c>
      <c r="Z221" s="53">
        <v>49.99</v>
      </c>
      <c r="AA221" s="5">
        <v>0</v>
      </c>
    </row>
    <row r="222" spans="12:27" x14ac:dyDescent="0.25">
      <c r="L222" s="28"/>
      <c r="M222" s="28"/>
      <c r="N222" s="67">
        <v>45516</v>
      </c>
      <c r="O222" s="23" t="s">
        <v>111</v>
      </c>
      <c r="P222" s="23" t="s">
        <v>622</v>
      </c>
      <c r="Q222" s="23" t="s">
        <v>113</v>
      </c>
      <c r="R222" s="61" t="s">
        <v>114</v>
      </c>
      <c r="S222" s="58">
        <v>45516</v>
      </c>
      <c r="T222" s="23" t="s">
        <v>83</v>
      </c>
      <c r="U222" s="23" t="s">
        <v>83</v>
      </c>
      <c r="V222" s="25" t="s">
        <v>623</v>
      </c>
      <c r="W222" s="52" t="s">
        <v>624</v>
      </c>
      <c r="X222" s="52" t="s">
        <v>83</v>
      </c>
      <c r="Y222" s="53">
        <v>0</v>
      </c>
      <c r="Z222" s="53">
        <v>2559.4899999999998</v>
      </c>
      <c r="AA222" s="5">
        <v>0</v>
      </c>
    </row>
    <row r="223" spans="12:27" x14ac:dyDescent="0.25">
      <c r="L223" s="28"/>
      <c r="M223" s="28"/>
      <c r="N223" s="69"/>
      <c r="O223" s="28"/>
      <c r="P223" s="29"/>
      <c r="Q223" s="29"/>
      <c r="R223" s="63"/>
      <c r="S223" s="59"/>
      <c r="T223" s="29"/>
      <c r="U223" s="29"/>
      <c r="V223" s="25" t="s">
        <v>625</v>
      </c>
      <c r="W223" s="52" t="s">
        <v>624</v>
      </c>
      <c r="X223" s="52" t="s">
        <v>83</v>
      </c>
      <c r="Y223" s="53">
        <v>0</v>
      </c>
      <c r="Z223" s="53">
        <v>143.33000000000001</v>
      </c>
      <c r="AA223" s="5">
        <v>0</v>
      </c>
    </row>
    <row r="224" spans="12:27" x14ac:dyDescent="0.25">
      <c r="L224" s="28"/>
      <c r="M224" s="28"/>
      <c r="N224" s="69"/>
      <c r="O224" s="28"/>
      <c r="P224" s="25" t="s">
        <v>626</v>
      </c>
      <c r="Q224" s="25" t="s">
        <v>113</v>
      </c>
      <c r="R224" s="60" t="s">
        <v>114</v>
      </c>
      <c r="S224" s="24">
        <v>45516</v>
      </c>
      <c r="T224" s="25" t="s">
        <v>83</v>
      </c>
      <c r="U224" s="25" t="s">
        <v>83</v>
      </c>
      <c r="V224" s="25" t="s">
        <v>579</v>
      </c>
      <c r="W224" s="52" t="s">
        <v>627</v>
      </c>
      <c r="X224" s="52" t="s">
        <v>83</v>
      </c>
      <c r="Y224" s="53">
        <v>0</v>
      </c>
      <c r="Z224" s="53">
        <v>8.25</v>
      </c>
      <c r="AA224" s="5">
        <v>0</v>
      </c>
    </row>
    <row r="225" spans="12:27" x14ac:dyDescent="0.25">
      <c r="L225" s="28"/>
      <c r="M225" s="28"/>
      <c r="N225" s="69"/>
      <c r="O225" s="28"/>
      <c r="P225" s="25" t="s">
        <v>628</v>
      </c>
      <c r="Q225" s="25" t="s">
        <v>113</v>
      </c>
      <c r="R225" s="60" t="s">
        <v>114</v>
      </c>
      <c r="S225" s="24">
        <v>45516</v>
      </c>
      <c r="T225" s="25" t="s">
        <v>83</v>
      </c>
      <c r="U225" s="25" t="s">
        <v>83</v>
      </c>
      <c r="V225" s="25" t="s">
        <v>579</v>
      </c>
      <c r="W225" s="52" t="s">
        <v>629</v>
      </c>
      <c r="X225" s="52" t="s">
        <v>83</v>
      </c>
      <c r="Y225" s="53">
        <v>0</v>
      </c>
      <c r="Z225" s="53">
        <v>46.87</v>
      </c>
      <c r="AA225" s="5">
        <v>0</v>
      </c>
    </row>
    <row r="226" spans="12:27" x14ac:dyDescent="0.25">
      <c r="L226" s="28"/>
      <c r="M226" s="28"/>
      <c r="N226" s="69"/>
      <c r="O226" s="29"/>
      <c r="P226" s="25" t="s">
        <v>630</v>
      </c>
      <c r="Q226" s="25" t="s">
        <v>113</v>
      </c>
      <c r="R226" s="60" t="s">
        <v>114</v>
      </c>
      <c r="S226" s="24">
        <v>45516</v>
      </c>
      <c r="T226" s="25" t="s">
        <v>83</v>
      </c>
      <c r="U226" s="25" t="s">
        <v>83</v>
      </c>
      <c r="V226" s="25" t="s">
        <v>579</v>
      </c>
      <c r="W226" s="52" t="s">
        <v>631</v>
      </c>
      <c r="X226" s="52" t="s">
        <v>83</v>
      </c>
      <c r="Y226" s="53">
        <v>0</v>
      </c>
      <c r="Z226" s="53">
        <v>41.29</v>
      </c>
      <c r="AA226" s="5">
        <v>0</v>
      </c>
    </row>
    <row r="227" spans="12:27" x14ac:dyDescent="0.25">
      <c r="L227" s="28"/>
      <c r="M227" s="28"/>
      <c r="N227" s="68"/>
      <c r="O227" s="25" t="s">
        <v>154</v>
      </c>
      <c r="P227" s="25" t="s">
        <v>632</v>
      </c>
      <c r="Q227" s="25" t="s">
        <v>113</v>
      </c>
      <c r="R227" s="60" t="s">
        <v>114</v>
      </c>
      <c r="S227" s="24">
        <v>45516</v>
      </c>
      <c r="T227" s="25" t="s">
        <v>633</v>
      </c>
      <c r="U227" s="25" t="s">
        <v>83</v>
      </c>
      <c r="V227" s="25" t="s">
        <v>531</v>
      </c>
      <c r="W227" s="52" t="s">
        <v>634</v>
      </c>
      <c r="X227" s="52" t="s">
        <v>531</v>
      </c>
      <c r="Y227" s="53">
        <v>0</v>
      </c>
      <c r="Z227" s="53">
        <v>0</v>
      </c>
      <c r="AA227" s="5">
        <v>512.55999999999995</v>
      </c>
    </row>
    <row r="228" spans="12:27" x14ac:dyDescent="0.25">
      <c r="L228" s="28"/>
      <c r="M228" s="28"/>
      <c r="N228" s="24">
        <v>45519</v>
      </c>
      <c r="O228" s="25" t="s">
        <v>253</v>
      </c>
      <c r="P228" s="25" t="s">
        <v>635</v>
      </c>
      <c r="Q228" s="25" t="s">
        <v>113</v>
      </c>
      <c r="R228" s="60" t="s">
        <v>114</v>
      </c>
      <c r="S228" s="24">
        <v>45519</v>
      </c>
      <c r="T228" s="25" t="s">
        <v>571</v>
      </c>
      <c r="U228" s="25" t="s">
        <v>636</v>
      </c>
      <c r="V228" s="25" t="s">
        <v>572</v>
      </c>
      <c r="W228" s="52" t="s">
        <v>637</v>
      </c>
      <c r="X228" s="52" t="s">
        <v>572</v>
      </c>
      <c r="Y228" s="53">
        <v>0</v>
      </c>
      <c r="Z228" s="53">
        <v>461.43</v>
      </c>
      <c r="AA228" s="5">
        <v>-474.57</v>
      </c>
    </row>
    <row r="229" spans="12:27" x14ac:dyDescent="0.25">
      <c r="L229" s="28"/>
      <c r="M229" s="28"/>
      <c r="N229" s="24">
        <v>45520</v>
      </c>
      <c r="O229" s="25" t="s">
        <v>159</v>
      </c>
      <c r="P229" s="25" t="s">
        <v>638</v>
      </c>
      <c r="Q229" s="25" t="s">
        <v>113</v>
      </c>
      <c r="R229" s="60" t="s">
        <v>114</v>
      </c>
      <c r="S229" s="24">
        <v>45520</v>
      </c>
      <c r="T229" s="25" t="s">
        <v>567</v>
      </c>
      <c r="U229" s="25" t="s">
        <v>83</v>
      </c>
      <c r="V229" s="25" t="s">
        <v>568</v>
      </c>
      <c r="W229" s="52" t="s">
        <v>639</v>
      </c>
      <c r="X229" s="52" t="s">
        <v>568</v>
      </c>
      <c r="Y229" s="53">
        <v>0</v>
      </c>
      <c r="Z229" s="53">
        <v>275.87</v>
      </c>
      <c r="AA229" s="5">
        <v>-276.88</v>
      </c>
    </row>
    <row r="230" spans="12:27" x14ac:dyDescent="0.25">
      <c r="L230" s="28"/>
      <c r="M230" s="28"/>
      <c r="N230" s="67">
        <v>45524</v>
      </c>
      <c r="O230" s="23" t="s">
        <v>154</v>
      </c>
      <c r="P230" s="25" t="s">
        <v>640</v>
      </c>
      <c r="Q230" s="25" t="s">
        <v>113</v>
      </c>
      <c r="R230" s="60" t="s">
        <v>114</v>
      </c>
      <c r="S230" s="24">
        <v>45524</v>
      </c>
      <c r="T230" s="25" t="s">
        <v>641</v>
      </c>
      <c r="U230" s="25" t="s">
        <v>83</v>
      </c>
      <c r="V230" s="25" t="s">
        <v>642</v>
      </c>
      <c r="W230" s="52" t="s">
        <v>643</v>
      </c>
      <c r="X230" s="52" t="s">
        <v>642</v>
      </c>
      <c r="Y230" s="53">
        <v>0</v>
      </c>
      <c r="Z230" s="53">
        <v>0</v>
      </c>
      <c r="AA230" s="5">
        <v>656.35</v>
      </c>
    </row>
    <row r="231" spans="12:27" x14ac:dyDescent="0.25">
      <c r="L231" s="28"/>
      <c r="M231" s="28"/>
      <c r="N231" s="69"/>
      <c r="O231" s="28"/>
      <c r="P231" s="25" t="s">
        <v>644</v>
      </c>
      <c r="Q231" s="25" t="s">
        <v>113</v>
      </c>
      <c r="R231" s="60" t="s">
        <v>114</v>
      </c>
      <c r="S231" s="24">
        <v>45524</v>
      </c>
      <c r="T231" s="25" t="s">
        <v>645</v>
      </c>
      <c r="U231" s="25" t="s">
        <v>83</v>
      </c>
      <c r="V231" s="25" t="s">
        <v>249</v>
      </c>
      <c r="W231" s="52" t="s">
        <v>646</v>
      </c>
      <c r="X231" s="52" t="s">
        <v>249</v>
      </c>
      <c r="Y231" s="53">
        <v>0</v>
      </c>
      <c r="Z231" s="53">
        <v>0</v>
      </c>
      <c r="AA231" s="5">
        <v>1668.8</v>
      </c>
    </row>
    <row r="232" spans="12:27" x14ac:dyDescent="0.25">
      <c r="L232" s="28"/>
      <c r="M232" s="28"/>
      <c r="N232" s="69"/>
      <c r="O232" s="28"/>
      <c r="P232" s="25" t="s">
        <v>647</v>
      </c>
      <c r="Q232" s="25" t="s">
        <v>113</v>
      </c>
      <c r="R232" s="60" t="s">
        <v>114</v>
      </c>
      <c r="S232" s="24">
        <v>45524</v>
      </c>
      <c r="T232" s="25" t="s">
        <v>648</v>
      </c>
      <c r="U232" s="25" t="s">
        <v>83</v>
      </c>
      <c r="V232" s="25" t="s">
        <v>642</v>
      </c>
      <c r="W232" s="52" t="s">
        <v>649</v>
      </c>
      <c r="X232" s="52" t="s">
        <v>642</v>
      </c>
      <c r="Y232" s="53">
        <v>0</v>
      </c>
      <c r="Z232" s="53">
        <v>0</v>
      </c>
      <c r="AA232" s="5">
        <v>857.57</v>
      </c>
    </row>
    <row r="233" spans="12:27" x14ac:dyDescent="0.25">
      <c r="L233" s="28"/>
      <c r="M233" s="28"/>
      <c r="N233" s="69"/>
      <c r="O233" s="28"/>
      <c r="P233" s="25" t="s">
        <v>650</v>
      </c>
      <c r="Q233" s="25" t="s">
        <v>113</v>
      </c>
      <c r="R233" s="60" t="s">
        <v>114</v>
      </c>
      <c r="S233" s="24">
        <v>45524</v>
      </c>
      <c r="T233" s="25" t="s">
        <v>651</v>
      </c>
      <c r="U233" s="25" t="s">
        <v>83</v>
      </c>
      <c r="V233" s="25" t="s">
        <v>652</v>
      </c>
      <c r="W233" s="52" t="s">
        <v>653</v>
      </c>
      <c r="X233" s="52" t="s">
        <v>652</v>
      </c>
      <c r="Y233" s="53">
        <v>0</v>
      </c>
      <c r="Z233" s="53">
        <v>0</v>
      </c>
      <c r="AA233" s="5">
        <v>1238.8800000000001</v>
      </c>
    </row>
    <row r="234" spans="12:27" x14ac:dyDescent="0.25">
      <c r="L234" s="28"/>
      <c r="M234" s="28"/>
      <c r="N234" s="69"/>
      <c r="O234" s="28"/>
      <c r="P234" s="25" t="s">
        <v>654</v>
      </c>
      <c r="Q234" s="25" t="s">
        <v>113</v>
      </c>
      <c r="R234" s="60" t="s">
        <v>114</v>
      </c>
      <c r="S234" s="24">
        <v>45524</v>
      </c>
      <c r="T234" s="25" t="s">
        <v>655</v>
      </c>
      <c r="U234" s="25" t="s">
        <v>83</v>
      </c>
      <c r="V234" s="25" t="s">
        <v>656</v>
      </c>
      <c r="W234" s="52" t="s">
        <v>657</v>
      </c>
      <c r="X234" s="52" t="s">
        <v>656</v>
      </c>
      <c r="Y234" s="53">
        <v>0</v>
      </c>
      <c r="Z234" s="53">
        <v>0</v>
      </c>
      <c r="AA234" s="5">
        <v>146.44999999999999</v>
      </c>
    </row>
    <row r="235" spans="12:27" x14ac:dyDescent="0.25">
      <c r="L235" s="28"/>
      <c r="M235" s="28"/>
      <c r="N235" s="69"/>
      <c r="O235" s="28"/>
      <c r="P235" s="25" t="s">
        <v>658</v>
      </c>
      <c r="Q235" s="25" t="s">
        <v>113</v>
      </c>
      <c r="R235" s="60" t="s">
        <v>114</v>
      </c>
      <c r="S235" s="24">
        <v>45524</v>
      </c>
      <c r="T235" s="25" t="s">
        <v>659</v>
      </c>
      <c r="U235" s="25" t="s">
        <v>83</v>
      </c>
      <c r="V235" s="25" t="s">
        <v>660</v>
      </c>
      <c r="W235" s="52" t="s">
        <v>661</v>
      </c>
      <c r="X235" s="52" t="s">
        <v>660</v>
      </c>
      <c r="Y235" s="53">
        <v>0</v>
      </c>
      <c r="Z235" s="53">
        <v>0</v>
      </c>
      <c r="AA235" s="5">
        <v>332.78</v>
      </c>
    </row>
    <row r="236" spans="12:27" x14ac:dyDescent="0.25">
      <c r="L236" s="28"/>
      <c r="M236" s="28"/>
      <c r="N236" s="69"/>
      <c r="O236" s="28"/>
      <c r="P236" s="25" t="s">
        <v>662</v>
      </c>
      <c r="Q236" s="25" t="s">
        <v>113</v>
      </c>
      <c r="R236" s="60" t="s">
        <v>114</v>
      </c>
      <c r="S236" s="24">
        <v>45524</v>
      </c>
      <c r="T236" s="25" t="s">
        <v>663</v>
      </c>
      <c r="U236" s="25" t="s">
        <v>83</v>
      </c>
      <c r="V236" s="25" t="s">
        <v>560</v>
      </c>
      <c r="W236" s="52" t="s">
        <v>664</v>
      </c>
      <c r="X236" s="52" t="s">
        <v>560</v>
      </c>
      <c r="Y236" s="53">
        <v>0</v>
      </c>
      <c r="Z236" s="53">
        <v>0</v>
      </c>
      <c r="AA236" s="5">
        <v>1541.74</v>
      </c>
    </row>
    <row r="237" spans="12:27" x14ac:dyDescent="0.25">
      <c r="L237" s="28"/>
      <c r="M237" s="28"/>
      <c r="N237" s="68"/>
      <c r="O237" s="29"/>
      <c r="P237" s="25" t="s">
        <v>665</v>
      </c>
      <c r="Q237" s="25" t="s">
        <v>113</v>
      </c>
      <c r="R237" s="60" t="s">
        <v>114</v>
      </c>
      <c r="S237" s="24">
        <v>45524</v>
      </c>
      <c r="T237" s="25" t="s">
        <v>666</v>
      </c>
      <c r="U237" s="25" t="s">
        <v>83</v>
      </c>
      <c r="V237" s="25" t="s">
        <v>560</v>
      </c>
      <c r="W237" s="52" t="s">
        <v>667</v>
      </c>
      <c r="X237" s="52" t="s">
        <v>560</v>
      </c>
      <c r="Y237" s="53">
        <v>0</v>
      </c>
      <c r="Z237" s="53">
        <v>0</v>
      </c>
      <c r="AA237" s="5">
        <v>1880.38</v>
      </c>
    </row>
    <row r="238" spans="12:27" x14ac:dyDescent="0.25">
      <c r="L238" s="28"/>
      <c r="M238" s="28"/>
      <c r="N238" s="67">
        <v>45525</v>
      </c>
      <c r="O238" s="23" t="s">
        <v>253</v>
      </c>
      <c r="P238" s="25" t="s">
        <v>668</v>
      </c>
      <c r="Q238" s="25" t="s">
        <v>113</v>
      </c>
      <c r="R238" s="60" t="s">
        <v>114</v>
      </c>
      <c r="S238" s="24">
        <v>45525</v>
      </c>
      <c r="T238" s="25" t="s">
        <v>645</v>
      </c>
      <c r="U238" s="25" t="s">
        <v>83</v>
      </c>
      <c r="V238" s="25" t="s">
        <v>249</v>
      </c>
      <c r="W238" s="52" t="s">
        <v>669</v>
      </c>
      <c r="X238" s="52" t="s">
        <v>249</v>
      </c>
      <c r="Y238" s="53">
        <v>0</v>
      </c>
      <c r="Z238" s="53">
        <v>706.55</v>
      </c>
      <c r="AA238" s="5">
        <v>-709.09</v>
      </c>
    </row>
    <row r="239" spans="12:27" x14ac:dyDescent="0.25">
      <c r="L239" s="28"/>
      <c r="M239" s="28"/>
      <c r="N239" s="68"/>
      <c r="O239" s="29"/>
      <c r="P239" s="25" t="s">
        <v>670</v>
      </c>
      <c r="Q239" s="25" t="s">
        <v>113</v>
      </c>
      <c r="R239" s="60" t="s">
        <v>114</v>
      </c>
      <c r="S239" s="24">
        <v>45525</v>
      </c>
      <c r="T239" s="25" t="s">
        <v>633</v>
      </c>
      <c r="U239" s="25" t="s">
        <v>83</v>
      </c>
      <c r="V239" s="25" t="s">
        <v>531</v>
      </c>
      <c r="W239" s="52" t="s">
        <v>671</v>
      </c>
      <c r="X239" s="52" t="s">
        <v>531</v>
      </c>
      <c r="Y239" s="53">
        <v>0</v>
      </c>
      <c r="Z239" s="53">
        <v>659.69</v>
      </c>
      <c r="AA239" s="5">
        <v>-512.55999999999995</v>
      </c>
    </row>
    <row r="240" spans="12:27" x14ac:dyDescent="0.25">
      <c r="L240" s="28"/>
      <c r="M240" s="28"/>
      <c r="N240" s="67">
        <v>45526</v>
      </c>
      <c r="O240" s="25" t="s">
        <v>154</v>
      </c>
      <c r="P240" s="25" t="s">
        <v>672</v>
      </c>
      <c r="Q240" s="25" t="s">
        <v>113</v>
      </c>
      <c r="R240" s="60" t="s">
        <v>114</v>
      </c>
      <c r="S240" s="24">
        <v>45526</v>
      </c>
      <c r="T240" s="25" t="s">
        <v>673</v>
      </c>
      <c r="U240" s="25" t="s">
        <v>83</v>
      </c>
      <c r="V240" s="25" t="s">
        <v>572</v>
      </c>
      <c r="W240" s="52" t="s">
        <v>674</v>
      </c>
      <c r="X240" s="52" t="s">
        <v>572</v>
      </c>
      <c r="Y240" s="53">
        <v>0</v>
      </c>
      <c r="Z240" s="53">
        <v>0</v>
      </c>
      <c r="AA240" s="5">
        <v>311.16000000000003</v>
      </c>
    </row>
    <row r="241" spans="12:27" x14ac:dyDescent="0.25">
      <c r="L241" s="28"/>
      <c r="M241" s="28"/>
      <c r="N241" s="68"/>
      <c r="O241" s="25" t="s">
        <v>253</v>
      </c>
      <c r="P241" s="25" t="s">
        <v>675</v>
      </c>
      <c r="Q241" s="25" t="s">
        <v>113</v>
      </c>
      <c r="R241" s="60" t="s">
        <v>114</v>
      </c>
      <c r="S241" s="24">
        <v>45526</v>
      </c>
      <c r="T241" s="25" t="s">
        <v>645</v>
      </c>
      <c r="U241" s="25" t="s">
        <v>83</v>
      </c>
      <c r="V241" s="25" t="s">
        <v>249</v>
      </c>
      <c r="W241" s="52" t="s">
        <v>676</v>
      </c>
      <c r="X241" s="52" t="s">
        <v>249</v>
      </c>
      <c r="Y241" s="53">
        <v>0</v>
      </c>
      <c r="Z241" s="53">
        <v>247.54</v>
      </c>
      <c r="AA241" s="5">
        <v>-248.45</v>
      </c>
    </row>
    <row r="242" spans="12:27" x14ac:dyDescent="0.25">
      <c r="L242" s="28"/>
      <c r="M242" s="28"/>
      <c r="N242" s="67">
        <v>45527</v>
      </c>
      <c r="O242" s="25" t="s">
        <v>159</v>
      </c>
      <c r="P242" s="25" t="s">
        <v>677</v>
      </c>
      <c r="Q242" s="25" t="s">
        <v>113</v>
      </c>
      <c r="R242" s="60" t="s">
        <v>114</v>
      </c>
      <c r="S242" s="24">
        <v>45527</v>
      </c>
      <c r="T242" s="25" t="s">
        <v>651</v>
      </c>
      <c r="U242" s="25" t="s">
        <v>83</v>
      </c>
      <c r="V242" s="25" t="s">
        <v>652</v>
      </c>
      <c r="W242" s="52" t="s">
        <v>678</v>
      </c>
      <c r="X242" s="52" t="s">
        <v>652</v>
      </c>
      <c r="Y242" s="53">
        <v>0</v>
      </c>
      <c r="Z242" s="53">
        <v>853.25</v>
      </c>
      <c r="AA242" s="5">
        <v>-853.25</v>
      </c>
    </row>
    <row r="243" spans="12:27" x14ac:dyDescent="0.25">
      <c r="L243" s="28"/>
      <c r="M243" s="28"/>
      <c r="N243" s="69"/>
      <c r="O243" s="23" t="s">
        <v>253</v>
      </c>
      <c r="P243" s="25" t="s">
        <v>679</v>
      </c>
      <c r="Q243" s="25" t="s">
        <v>113</v>
      </c>
      <c r="R243" s="60" t="s">
        <v>114</v>
      </c>
      <c r="S243" s="24">
        <v>45527</v>
      </c>
      <c r="T243" s="25" t="s">
        <v>663</v>
      </c>
      <c r="U243" s="25" t="s">
        <v>83</v>
      </c>
      <c r="V243" s="25" t="s">
        <v>560</v>
      </c>
      <c r="W243" s="52" t="s">
        <v>680</v>
      </c>
      <c r="X243" s="52" t="s">
        <v>560</v>
      </c>
      <c r="Y243" s="53">
        <v>0</v>
      </c>
      <c r="Z243" s="53">
        <v>55.78</v>
      </c>
      <c r="AA243" s="5">
        <v>-56.3</v>
      </c>
    </row>
    <row r="244" spans="12:27" x14ac:dyDescent="0.25">
      <c r="L244" s="28"/>
      <c r="M244" s="28"/>
      <c r="N244" s="69"/>
      <c r="O244" s="28"/>
      <c r="P244" s="25" t="s">
        <v>681</v>
      </c>
      <c r="Q244" s="25" t="s">
        <v>113</v>
      </c>
      <c r="R244" s="60" t="s">
        <v>114</v>
      </c>
      <c r="S244" s="24">
        <v>45527</v>
      </c>
      <c r="T244" s="25" t="s">
        <v>666</v>
      </c>
      <c r="U244" s="25" t="s">
        <v>83</v>
      </c>
      <c r="V244" s="25" t="s">
        <v>560</v>
      </c>
      <c r="W244" s="52" t="s">
        <v>682</v>
      </c>
      <c r="X244" s="52" t="s">
        <v>560</v>
      </c>
      <c r="Y244" s="53">
        <v>0</v>
      </c>
      <c r="Z244" s="53">
        <v>1175.6099999999999</v>
      </c>
      <c r="AA244" s="5">
        <v>-1186.49</v>
      </c>
    </row>
    <row r="245" spans="12:27" x14ac:dyDescent="0.25">
      <c r="L245" s="28"/>
      <c r="M245" s="28"/>
      <c r="N245" s="69"/>
      <c r="O245" s="28"/>
      <c r="P245" s="25" t="s">
        <v>683</v>
      </c>
      <c r="Q245" s="25" t="s">
        <v>113</v>
      </c>
      <c r="R245" s="60" t="s">
        <v>114</v>
      </c>
      <c r="S245" s="24">
        <v>45527</v>
      </c>
      <c r="T245" s="25" t="s">
        <v>663</v>
      </c>
      <c r="U245" s="25" t="s">
        <v>83</v>
      </c>
      <c r="V245" s="25" t="s">
        <v>560</v>
      </c>
      <c r="W245" s="52" t="s">
        <v>684</v>
      </c>
      <c r="X245" s="52" t="s">
        <v>560</v>
      </c>
      <c r="Y245" s="53">
        <v>0</v>
      </c>
      <c r="Z245" s="53">
        <v>224.44</v>
      </c>
      <c r="AA245" s="5">
        <v>-226.52</v>
      </c>
    </row>
    <row r="246" spans="12:27" x14ac:dyDescent="0.25">
      <c r="L246" s="28"/>
      <c r="M246" s="28"/>
      <c r="N246" s="69"/>
      <c r="O246" s="28"/>
      <c r="P246" s="25" t="s">
        <v>685</v>
      </c>
      <c r="Q246" s="25" t="s">
        <v>113</v>
      </c>
      <c r="R246" s="60" t="s">
        <v>114</v>
      </c>
      <c r="S246" s="24">
        <v>45527</v>
      </c>
      <c r="T246" s="25" t="s">
        <v>666</v>
      </c>
      <c r="U246" s="25" t="s">
        <v>83</v>
      </c>
      <c r="V246" s="25" t="s">
        <v>560</v>
      </c>
      <c r="W246" s="52" t="s">
        <v>686</v>
      </c>
      <c r="X246" s="52" t="s">
        <v>560</v>
      </c>
      <c r="Y246" s="53">
        <v>0</v>
      </c>
      <c r="Z246" s="53">
        <v>362.97</v>
      </c>
      <c r="AA246" s="5">
        <v>-366.34</v>
      </c>
    </row>
    <row r="247" spans="12:27" x14ac:dyDescent="0.25">
      <c r="L247" s="28"/>
      <c r="M247" s="28"/>
      <c r="N247" s="69"/>
      <c r="O247" s="28"/>
      <c r="P247" s="25" t="s">
        <v>687</v>
      </c>
      <c r="Q247" s="25" t="s">
        <v>113</v>
      </c>
      <c r="R247" s="60" t="s">
        <v>114</v>
      </c>
      <c r="S247" s="24">
        <v>45527</v>
      </c>
      <c r="T247" s="25" t="s">
        <v>666</v>
      </c>
      <c r="U247" s="25" t="s">
        <v>83</v>
      </c>
      <c r="V247" s="25" t="s">
        <v>560</v>
      </c>
      <c r="W247" s="52" t="s">
        <v>688</v>
      </c>
      <c r="X247" s="52" t="s">
        <v>560</v>
      </c>
      <c r="Y247" s="53">
        <v>0</v>
      </c>
      <c r="Z247" s="53">
        <v>142.16</v>
      </c>
      <c r="AA247" s="5">
        <v>-143.49</v>
      </c>
    </row>
    <row r="248" spans="12:27" x14ac:dyDescent="0.25">
      <c r="L248" s="28"/>
      <c r="M248" s="28"/>
      <c r="N248" s="69"/>
      <c r="O248" s="28"/>
      <c r="P248" s="25" t="s">
        <v>689</v>
      </c>
      <c r="Q248" s="25" t="s">
        <v>113</v>
      </c>
      <c r="R248" s="60" t="s">
        <v>114</v>
      </c>
      <c r="S248" s="24">
        <v>45527</v>
      </c>
      <c r="T248" s="25" t="s">
        <v>655</v>
      </c>
      <c r="U248" s="25" t="s">
        <v>83</v>
      </c>
      <c r="V248" s="25" t="s">
        <v>656</v>
      </c>
      <c r="W248" s="52" t="s">
        <v>690</v>
      </c>
      <c r="X248" s="52" t="s">
        <v>656</v>
      </c>
      <c r="Y248" s="53">
        <v>0</v>
      </c>
      <c r="Z248" s="53">
        <v>145.93</v>
      </c>
      <c r="AA248" s="5">
        <v>-146.44999999999999</v>
      </c>
    </row>
    <row r="249" spans="12:27" x14ac:dyDescent="0.25">
      <c r="L249" s="28"/>
      <c r="M249" s="28"/>
      <c r="N249" s="69"/>
      <c r="O249" s="28"/>
      <c r="P249" s="25" t="s">
        <v>691</v>
      </c>
      <c r="Q249" s="25" t="s">
        <v>113</v>
      </c>
      <c r="R249" s="60" t="s">
        <v>114</v>
      </c>
      <c r="S249" s="24">
        <v>45527</v>
      </c>
      <c r="T249" s="25" t="s">
        <v>666</v>
      </c>
      <c r="U249" s="25" t="s">
        <v>83</v>
      </c>
      <c r="V249" s="25" t="s">
        <v>560</v>
      </c>
      <c r="W249" s="52" t="s">
        <v>692</v>
      </c>
      <c r="X249" s="52" t="s">
        <v>560</v>
      </c>
      <c r="Y249" s="53">
        <v>0</v>
      </c>
      <c r="Z249" s="53">
        <v>165.09</v>
      </c>
      <c r="AA249" s="5">
        <v>-166.61</v>
      </c>
    </row>
    <row r="250" spans="12:27" x14ac:dyDescent="0.25">
      <c r="L250" s="28"/>
      <c r="M250" s="28"/>
      <c r="N250" s="69"/>
      <c r="O250" s="28"/>
      <c r="P250" s="25" t="s">
        <v>693</v>
      </c>
      <c r="Q250" s="25" t="s">
        <v>113</v>
      </c>
      <c r="R250" s="60" t="s">
        <v>114</v>
      </c>
      <c r="S250" s="24">
        <v>45527</v>
      </c>
      <c r="T250" s="25" t="s">
        <v>645</v>
      </c>
      <c r="U250" s="25" t="s">
        <v>83</v>
      </c>
      <c r="V250" s="25" t="s">
        <v>249</v>
      </c>
      <c r="W250" s="52" t="s">
        <v>694</v>
      </c>
      <c r="X250" s="52" t="s">
        <v>249</v>
      </c>
      <c r="Y250" s="53">
        <v>0</v>
      </c>
      <c r="Z250" s="53">
        <v>292.25</v>
      </c>
      <c r="AA250" s="5">
        <v>-293.32</v>
      </c>
    </row>
    <row r="251" spans="12:27" x14ac:dyDescent="0.25">
      <c r="L251" s="28"/>
      <c r="M251" s="28"/>
      <c r="N251" s="68"/>
      <c r="O251" s="29"/>
      <c r="P251" s="25" t="s">
        <v>695</v>
      </c>
      <c r="Q251" s="25" t="s">
        <v>113</v>
      </c>
      <c r="R251" s="60" t="s">
        <v>114</v>
      </c>
      <c r="S251" s="24">
        <v>45527</v>
      </c>
      <c r="T251" s="25" t="s">
        <v>666</v>
      </c>
      <c r="U251" s="25" t="s">
        <v>83</v>
      </c>
      <c r="V251" s="25" t="s">
        <v>560</v>
      </c>
      <c r="W251" s="52" t="s">
        <v>696</v>
      </c>
      <c r="X251" s="52" t="s">
        <v>560</v>
      </c>
      <c r="Y251" s="53">
        <v>0</v>
      </c>
      <c r="Z251" s="53">
        <v>17.29</v>
      </c>
      <c r="AA251" s="5">
        <v>-17.45</v>
      </c>
    </row>
    <row r="252" spans="12:27" x14ac:dyDescent="0.25">
      <c r="L252" s="28"/>
      <c r="M252" s="28"/>
      <c r="N252" s="24">
        <v>45530</v>
      </c>
      <c r="O252" s="25" t="s">
        <v>253</v>
      </c>
      <c r="P252" s="25" t="s">
        <v>697</v>
      </c>
      <c r="Q252" s="25" t="s">
        <v>113</v>
      </c>
      <c r="R252" s="60" t="s">
        <v>114</v>
      </c>
      <c r="S252" s="24">
        <v>45530</v>
      </c>
      <c r="T252" s="25" t="s">
        <v>663</v>
      </c>
      <c r="U252" s="25" t="s">
        <v>83</v>
      </c>
      <c r="V252" s="25" t="s">
        <v>560</v>
      </c>
      <c r="W252" s="52" t="s">
        <v>698</v>
      </c>
      <c r="X252" s="52" t="s">
        <v>560</v>
      </c>
      <c r="Y252" s="53">
        <v>0</v>
      </c>
      <c r="Z252" s="53">
        <v>115.45</v>
      </c>
      <c r="AA252" s="5">
        <v>-116.51</v>
      </c>
    </row>
    <row r="253" spans="12:27" x14ac:dyDescent="0.25">
      <c r="L253" s="28"/>
      <c r="M253" s="28"/>
      <c r="N253" s="67">
        <v>45531</v>
      </c>
      <c r="O253" s="23" t="s">
        <v>253</v>
      </c>
      <c r="P253" s="25" t="s">
        <v>699</v>
      </c>
      <c r="Q253" s="25" t="s">
        <v>113</v>
      </c>
      <c r="R253" s="60" t="s">
        <v>114</v>
      </c>
      <c r="S253" s="24">
        <v>45531</v>
      </c>
      <c r="T253" s="25" t="s">
        <v>645</v>
      </c>
      <c r="U253" s="25" t="s">
        <v>83</v>
      </c>
      <c r="V253" s="25" t="s">
        <v>249</v>
      </c>
      <c r="W253" s="52" t="s">
        <v>700</v>
      </c>
      <c r="X253" s="52" t="s">
        <v>249</v>
      </c>
      <c r="Y253" s="53">
        <v>0</v>
      </c>
      <c r="Z253" s="53">
        <v>182.68</v>
      </c>
      <c r="AA253" s="5">
        <v>-183.35</v>
      </c>
    </row>
    <row r="254" spans="12:27" x14ac:dyDescent="0.25">
      <c r="L254" s="28"/>
      <c r="M254" s="28"/>
      <c r="N254" s="69"/>
      <c r="O254" s="28"/>
      <c r="P254" s="25" t="s">
        <v>701</v>
      </c>
      <c r="Q254" s="25" t="s">
        <v>113</v>
      </c>
      <c r="R254" s="60" t="s">
        <v>114</v>
      </c>
      <c r="S254" s="24">
        <v>45531</v>
      </c>
      <c r="T254" s="25" t="s">
        <v>663</v>
      </c>
      <c r="U254" s="25" t="s">
        <v>83</v>
      </c>
      <c r="V254" s="25" t="s">
        <v>560</v>
      </c>
      <c r="W254" s="52" t="s">
        <v>702</v>
      </c>
      <c r="X254" s="52" t="s">
        <v>560</v>
      </c>
      <c r="Y254" s="53">
        <v>0</v>
      </c>
      <c r="Z254" s="53">
        <v>504.93</v>
      </c>
      <c r="AA254" s="5">
        <v>-509.6</v>
      </c>
    </row>
    <row r="255" spans="12:27" x14ac:dyDescent="0.25">
      <c r="L255" s="28"/>
      <c r="M255" s="28"/>
      <c r="N255" s="68"/>
      <c r="O255" s="29"/>
      <c r="P255" s="25" t="s">
        <v>703</v>
      </c>
      <c r="Q255" s="25" t="s">
        <v>113</v>
      </c>
      <c r="R255" s="60" t="s">
        <v>114</v>
      </c>
      <c r="S255" s="24">
        <v>45531</v>
      </c>
      <c r="T255" s="25" t="s">
        <v>659</v>
      </c>
      <c r="U255" s="25" t="s">
        <v>83</v>
      </c>
      <c r="V255" s="25" t="s">
        <v>660</v>
      </c>
      <c r="W255" s="52" t="s">
        <v>704</v>
      </c>
      <c r="X255" s="52" t="s">
        <v>660</v>
      </c>
      <c r="Y255" s="53">
        <v>0</v>
      </c>
      <c r="Z255" s="53">
        <v>332.78</v>
      </c>
      <c r="AA255" s="5">
        <v>-332.78</v>
      </c>
    </row>
    <row r="256" spans="12:27" x14ac:dyDescent="0.25">
      <c r="L256" s="28"/>
      <c r="M256" s="28"/>
      <c r="N256" s="24">
        <v>45532</v>
      </c>
      <c r="O256" s="25" t="s">
        <v>253</v>
      </c>
      <c r="P256" s="25" t="s">
        <v>705</v>
      </c>
      <c r="Q256" s="25" t="s">
        <v>113</v>
      </c>
      <c r="R256" s="60" t="s">
        <v>114</v>
      </c>
      <c r="S256" s="24">
        <v>45532</v>
      </c>
      <c r="T256" s="25" t="s">
        <v>673</v>
      </c>
      <c r="U256" s="25" t="s">
        <v>706</v>
      </c>
      <c r="V256" s="25" t="s">
        <v>572</v>
      </c>
      <c r="W256" s="52" t="s">
        <v>707</v>
      </c>
      <c r="X256" s="52" t="s">
        <v>572</v>
      </c>
      <c r="Y256" s="53">
        <v>0</v>
      </c>
      <c r="Z256" s="53">
        <v>324.17</v>
      </c>
      <c r="AA256" s="5">
        <v>-311.16000000000003</v>
      </c>
    </row>
    <row r="257" spans="12:27" x14ac:dyDescent="0.25">
      <c r="L257" s="28"/>
      <c r="M257" s="28"/>
      <c r="N257" s="67">
        <v>45533</v>
      </c>
      <c r="O257" s="25" t="s">
        <v>159</v>
      </c>
      <c r="P257" s="25" t="s">
        <v>708</v>
      </c>
      <c r="Q257" s="25" t="s">
        <v>113</v>
      </c>
      <c r="R257" s="60" t="s">
        <v>114</v>
      </c>
      <c r="S257" s="24">
        <v>45533</v>
      </c>
      <c r="T257" s="25" t="s">
        <v>651</v>
      </c>
      <c r="U257" s="25" t="s">
        <v>83</v>
      </c>
      <c r="V257" s="25" t="s">
        <v>652</v>
      </c>
      <c r="W257" s="52" t="s">
        <v>709</v>
      </c>
      <c r="X257" s="52" t="s">
        <v>652</v>
      </c>
      <c r="Y257" s="53">
        <v>0</v>
      </c>
      <c r="Z257" s="53">
        <v>188.42</v>
      </c>
      <c r="AA257" s="5">
        <v>-188.42</v>
      </c>
    </row>
    <row r="258" spans="12:27" x14ac:dyDescent="0.25">
      <c r="L258" s="28"/>
      <c r="M258" s="28"/>
      <c r="N258" s="68"/>
      <c r="O258" s="25" t="s">
        <v>253</v>
      </c>
      <c r="P258" s="25" t="s">
        <v>710</v>
      </c>
      <c r="Q258" s="25" t="s">
        <v>113</v>
      </c>
      <c r="R258" s="60" t="s">
        <v>114</v>
      </c>
      <c r="S258" s="24">
        <v>45533</v>
      </c>
      <c r="T258" s="25" t="s">
        <v>571</v>
      </c>
      <c r="U258" s="25" t="s">
        <v>711</v>
      </c>
      <c r="V258" s="25" t="s">
        <v>572</v>
      </c>
      <c r="W258" s="52" t="s">
        <v>712</v>
      </c>
      <c r="X258" s="52" t="s">
        <v>572</v>
      </c>
      <c r="Y258" s="53">
        <v>0</v>
      </c>
      <c r="Z258" s="53">
        <v>86.67</v>
      </c>
      <c r="AA258" s="5">
        <v>-89.14</v>
      </c>
    </row>
    <row r="259" spans="12:27" x14ac:dyDescent="0.25">
      <c r="L259" s="28"/>
      <c r="M259" s="28"/>
      <c r="N259" s="24">
        <v>45534</v>
      </c>
      <c r="O259" s="25" t="s">
        <v>111</v>
      </c>
      <c r="P259" s="25" t="s">
        <v>713</v>
      </c>
      <c r="Q259" s="25" t="s">
        <v>113</v>
      </c>
      <c r="R259" s="60" t="s">
        <v>114</v>
      </c>
      <c r="S259" s="24">
        <v>45534</v>
      </c>
      <c r="T259" s="25" t="s">
        <v>83</v>
      </c>
      <c r="U259" s="25" t="s">
        <v>83</v>
      </c>
      <c r="V259" s="25" t="s">
        <v>714</v>
      </c>
      <c r="W259" s="52" t="s">
        <v>715</v>
      </c>
      <c r="X259" s="52" t="s">
        <v>83</v>
      </c>
      <c r="Y259" s="53">
        <v>0</v>
      </c>
      <c r="Z259" s="53">
        <v>4038.89</v>
      </c>
      <c r="AA259" s="5">
        <v>0</v>
      </c>
    </row>
    <row r="260" spans="12:27" x14ac:dyDescent="0.25">
      <c r="L260" s="28"/>
      <c r="M260" s="28"/>
      <c r="N260" s="67">
        <v>45537</v>
      </c>
      <c r="O260" s="23" t="s">
        <v>111</v>
      </c>
      <c r="P260" s="25" t="s">
        <v>716</v>
      </c>
      <c r="Q260" s="25" t="s">
        <v>113</v>
      </c>
      <c r="R260" s="60" t="s">
        <v>114</v>
      </c>
      <c r="S260" s="24">
        <v>45538</v>
      </c>
      <c r="T260" s="25" t="s">
        <v>83</v>
      </c>
      <c r="U260" s="25" t="s">
        <v>83</v>
      </c>
      <c r="V260" s="25" t="s">
        <v>717</v>
      </c>
      <c r="W260" s="52" t="s">
        <v>718</v>
      </c>
      <c r="X260" s="52" t="s">
        <v>83</v>
      </c>
      <c r="Y260" s="53">
        <v>0</v>
      </c>
      <c r="Z260" s="53">
        <v>3678.79</v>
      </c>
      <c r="AA260" s="5">
        <v>0</v>
      </c>
    </row>
    <row r="261" spans="12:27" x14ac:dyDescent="0.25">
      <c r="L261" s="28"/>
      <c r="M261" s="28"/>
      <c r="N261" s="68"/>
      <c r="O261" s="29"/>
      <c r="P261" s="25" t="s">
        <v>719</v>
      </c>
      <c r="Q261" s="25" t="s">
        <v>113</v>
      </c>
      <c r="R261" s="60" t="s">
        <v>114</v>
      </c>
      <c r="S261" s="24">
        <v>45538</v>
      </c>
      <c r="T261" s="25" t="s">
        <v>83</v>
      </c>
      <c r="U261" s="25" t="s">
        <v>83</v>
      </c>
      <c r="V261" s="25" t="s">
        <v>720</v>
      </c>
      <c r="W261" s="52" t="s">
        <v>721</v>
      </c>
      <c r="X261" s="52" t="s">
        <v>83</v>
      </c>
      <c r="Y261" s="53">
        <v>0</v>
      </c>
      <c r="Z261" s="53">
        <v>168.64</v>
      </c>
      <c r="AA261" s="5">
        <v>0</v>
      </c>
    </row>
    <row r="262" spans="12:27" x14ac:dyDescent="0.25">
      <c r="L262" s="28"/>
      <c r="M262" s="28"/>
      <c r="N262" s="67">
        <v>45538</v>
      </c>
      <c r="O262" s="23" t="s">
        <v>111</v>
      </c>
      <c r="P262" s="25" t="s">
        <v>722</v>
      </c>
      <c r="Q262" s="25" t="s">
        <v>113</v>
      </c>
      <c r="R262" s="60" t="s">
        <v>114</v>
      </c>
      <c r="S262" s="24">
        <v>45538</v>
      </c>
      <c r="T262" s="25" t="s">
        <v>83</v>
      </c>
      <c r="U262" s="25" t="s">
        <v>83</v>
      </c>
      <c r="V262" s="25" t="s">
        <v>723</v>
      </c>
      <c r="W262" s="52" t="s">
        <v>724</v>
      </c>
      <c r="X262" s="52" t="s">
        <v>83</v>
      </c>
      <c r="Y262" s="53">
        <v>0</v>
      </c>
      <c r="Z262" s="53">
        <v>358.56</v>
      </c>
      <c r="AA262" s="5">
        <v>0</v>
      </c>
    </row>
    <row r="263" spans="12:27" x14ac:dyDescent="0.25">
      <c r="L263" s="28"/>
      <c r="M263" s="28"/>
      <c r="N263" s="69"/>
      <c r="O263" s="29"/>
      <c r="P263" s="25" t="s">
        <v>725</v>
      </c>
      <c r="Q263" s="25" t="s">
        <v>113</v>
      </c>
      <c r="R263" s="60" t="s">
        <v>114</v>
      </c>
      <c r="S263" s="24">
        <v>45538</v>
      </c>
      <c r="T263" s="25" t="s">
        <v>83</v>
      </c>
      <c r="U263" s="25" t="s">
        <v>83</v>
      </c>
      <c r="V263" s="25" t="s">
        <v>726</v>
      </c>
      <c r="W263" s="52" t="s">
        <v>727</v>
      </c>
      <c r="X263" s="52" t="s">
        <v>83</v>
      </c>
      <c r="Y263" s="53">
        <v>0</v>
      </c>
      <c r="Z263" s="53">
        <v>191</v>
      </c>
      <c r="AA263" s="5">
        <v>0</v>
      </c>
    </row>
    <row r="264" spans="12:27" x14ac:dyDescent="0.25">
      <c r="L264" s="28"/>
      <c r="M264" s="28"/>
      <c r="N264" s="68"/>
      <c r="O264" s="25" t="s">
        <v>154</v>
      </c>
      <c r="P264" s="25" t="s">
        <v>728</v>
      </c>
      <c r="Q264" s="25" t="s">
        <v>113</v>
      </c>
      <c r="R264" s="60" t="s">
        <v>114</v>
      </c>
      <c r="S264" s="24">
        <v>45538</v>
      </c>
      <c r="T264" s="25" t="s">
        <v>729</v>
      </c>
      <c r="U264" s="25" t="s">
        <v>83</v>
      </c>
      <c r="V264" s="25" t="s">
        <v>572</v>
      </c>
      <c r="W264" s="52" t="s">
        <v>730</v>
      </c>
      <c r="X264" s="52" t="s">
        <v>572</v>
      </c>
      <c r="Y264" s="53">
        <v>0</v>
      </c>
      <c r="Z264" s="53">
        <v>0</v>
      </c>
      <c r="AA264" s="5">
        <v>138.56</v>
      </c>
    </row>
    <row r="265" spans="12:27" x14ac:dyDescent="0.25">
      <c r="L265" s="28"/>
      <c r="M265" s="28"/>
      <c r="N265" s="67">
        <v>45540</v>
      </c>
      <c r="O265" s="23" t="s">
        <v>154</v>
      </c>
      <c r="P265" s="25" t="s">
        <v>731</v>
      </c>
      <c r="Q265" s="25" t="s">
        <v>113</v>
      </c>
      <c r="R265" s="60" t="s">
        <v>114</v>
      </c>
      <c r="S265" s="24">
        <v>45540</v>
      </c>
      <c r="T265" s="25" t="s">
        <v>732</v>
      </c>
      <c r="U265" s="25" t="s">
        <v>83</v>
      </c>
      <c r="V265" s="25" t="s">
        <v>660</v>
      </c>
      <c r="W265" s="52" t="s">
        <v>733</v>
      </c>
      <c r="X265" s="52" t="s">
        <v>660</v>
      </c>
      <c r="Y265" s="53">
        <v>0</v>
      </c>
      <c r="Z265" s="53">
        <v>0</v>
      </c>
      <c r="AA265" s="5">
        <v>37.85</v>
      </c>
    </row>
    <row r="266" spans="12:27" x14ac:dyDescent="0.25">
      <c r="L266" s="28"/>
      <c r="M266" s="28"/>
      <c r="N266" s="69"/>
      <c r="O266" s="28"/>
      <c r="P266" s="25" t="s">
        <v>734</v>
      </c>
      <c r="Q266" s="25" t="s">
        <v>113</v>
      </c>
      <c r="R266" s="60" t="s">
        <v>114</v>
      </c>
      <c r="S266" s="24">
        <v>45540</v>
      </c>
      <c r="T266" s="25" t="s">
        <v>735</v>
      </c>
      <c r="U266" s="25" t="s">
        <v>83</v>
      </c>
      <c r="V266" s="25" t="s">
        <v>572</v>
      </c>
      <c r="W266" s="52" t="s">
        <v>736</v>
      </c>
      <c r="X266" s="52" t="s">
        <v>572</v>
      </c>
      <c r="Y266" s="53">
        <v>0</v>
      </c>
      <c r="Z266" s="53">
        <v>0</v>
      </c>
      <c r="AA266" s="5">
        <v>246.57</v>
      </c>
    </row>
    <row r="267" spans="12:27" x14ac:dyDescent="0.25">
      <c r="L267" s="28"/>
      <c r="M267" s="28"/>
      <c r="N267" s="69"/>
      <c r="O267" s="28"/>
      <c r="P267" s="25" t="s">
        <v>737</v>
      </c>
      <c r="Q267" s="25" t="s">
        <v>113</v>
      </c>
      <c r="R267" s="60" t="s">
        <v>114</v>
      </c>
      <c r="S267" s="24">
        <v>45540</v>
      </c>
      <c r="T267" s="25" t="s">
        <v>738</v>
      </c>
      <c r="U267" s="25" t="s">
        <v>83</v>
      </c>
      <c r="V267" s="25" t="s">
        <v>642</v>
      </c>
      <c r="W267" s="52" t="s">
        <v>739</v>
      </c>
      <c r="X267" s="52" t="s">
        <v>642</v>
      </c>
      <c r="Y267" s="53">
        <v>0</v>
      </c>
      <c r="Z267" s="53">
        <v>0</v>
      </c>
      <c r="AA267" s="5">
        <v>190.38</v>
      </c>
    </row>
    <row r="268" spans="12:27" x14ac:dyDescent="0.25">
      <c r="L268" s="28"/>
      <c r="M268" s="28"/>
      <c r="N268" s="69"/>
      <c r="O268" s="28"/>
      <c r="P268" s="25" t="s">
        <v>740</v>
      </c>
      <c r="Q268" s="25" t="s">
        <v>113</v>
      </c>
      <c r="R268" s="60" t="s">
        <v>114</v>
      </c>
      <c r="S268" s="24">
        <v>45540</v>
      </c>
      <c r="T268" s="25" t="s">
        <v>741</v>
      </c>
      <c r="U268" s="25" t="s">
        <v>83</v>
      </c>
      <c r="V268" s="25" t="s">
        <v>249</v>
      </c>
      <c r="W268" s="52" t="s">
        <v>742</v>
      </c>
      <c r="X268" s="52" t="s">
        <v>249</v>
      </c>
      <c r="Y268" s="53">
        <v>0</v>
      </c>
      <c r="Z268" s="53">
        <v>0</v>
      </c>
      <c r="AA268" s="5">
        <v>240.66</v>
      </c>
    </row>
    <row r="269" spans="12:27" x14ac:dyDescent="0.25">
      <c r="L269" s="28"/>
      <c r="M269" s="28"/>
      <c r="N269" s="69"/>
      <c r="O269" s="28"/>
      <c r="P269" s="25" t="s">
        <v>743</v>
      </c>
      <c r="Q269" s="25" t="s">
        <v>113</v>
      </c>
      <c r="R269" s="60" t="s">
        <v>114</v>
      </c>
      <c r="S269" s="24">
        <v>45540</v>
      </c>
      <c r="T269" s="25" t="s">
        <v>744</v>
      </c>
      <c r="U269" s="25" t="s">
        <v>83</v>
      </c>
      <c r="V269" s="25" t="s">
        <v>560</v>
      </c>
      <c r="W269" s="52" t="s">
        <v>745</v>
      </c>
      <c r="X269" s="52" t="s">
        <v>560</v>
      </c>
      <c r="Y269" s="53">
        <v>0</v>
      </c>
      <c r="Z269" s="53">
        <v>0</v>
      </c>
      <c r="AA269" s="5">
        <v>377.58</v>
      </c>
    </row>
    <row r="270" spans="12:27" x14ac:dyDescent="0.25">
      <c r="L270" s="28"/>
      <c r="M270" s="28"/>
      <c r="N270" s="69"/>
      <c r="O270" s="28"/>
      <c r="P270" s="25" t="s">
        <v>746</v>
      </c>
      <c r="Q270" s="25" t="s">
        <v>113</v>
      </c>
      <c r="R270" s="60" t="s">
        <v>114</v>
      </c>
      <c r="S270" s="24">
        <v>45540</v>
      </c>
      <c r="T270" s="25" t="s">
        <v>747</v>
      </c>
      <c r="U270" s="25" t="s">
        <v>83</v>
      </c>
      <c r="V270" s="25" t="s">
        <v>748</v>
      </c>
      <c r="W270" s="52" t="s">
        <v>749</v>
      </c>
      <c r="X270" s="52" t="s">
        <v>748</v>
      </c>
      <c r="Y270" s="53">
        <v>0</v>
      </c>
      <c r="Z270" s="53">
        <v>0</v>
      </c>
      <c r="AA270" s="5">
        <v>192.61</v>
      </c>
    </row>
    <row r="271" spans="12:27" x14ac:dyDescent="0.25">
      <c r="L271" s="28"/>
      <c r="M271" s="28"/>
      <c r="N271" s="69"/>
      <c r="O271" s="28"/>
      <c r="P271" s="25" t="s">
        <v>750</v>
      </c>
      <c r="Q271" s="25" t="s">
        <v>113</v>
      </c>
      <c r="R271" s="60" t="s">
        <v>114</v>
      </c>
      <c r="S271" s="24">
        <v>45540</v>
      </c>
      <c r="T271" s="25" t="s">
        <v>751</v>
      </c>
      <c r="U271" s="25" t="s">
        <v>83</v>
      </c>
      <c r="V271" s="25" t="s">
        <v>752</v>
      </c>
      <c r="W271" s="52" t="s">
        <v>753</v>
      </c>
      <c r="X271" s="52" t="s">
        <v>752</v>
      </c>
      <c r="Y271" s="53">
        <v>0</v>
      </c>
      <c r="Z271" s="53">
        <v>0</v>
      </c>
      <c r="AA271" s="5">
        <v>153.34</v>
      </c>
    </row>
    <row r="272" spans="12:27" x14ac:dyDescent="0.25">
      <c r="L272" s="28"/>
      <c r="M272" s="28"/>
      <c r="N272" s="69"/>
      <c r="O272" s="28"/>
      <c r="P272" s="25" t="s">
        <v>754</v>
      </c>
      <c r="Q272" s="25" t="s">
        <v>113</v>
      </c>
      <c r="R272" s="60" t="s">
        <v>114</v>
      </c>
      <c r="S272" s="24">
        <v>45540</v>
      </c>
      <c r="T272" s="25" t="s">
        <v>755</v>
      </c>
      <c r="U272" s="25" t="s">
        <v>83</v>
      </c>
      <c r="V272" s="25" t="s">
        <v>560</v>
      </c>
      <c r="W272" s="52" t="s">
        <v>756</v>
      </c>
      <c r="X272" s="52" t="s">
        <v>560</v>
      </c>
      <c r="Y272" s="53">
        <v>0</v>
      </c>
      <c r="Z272" s="53">
        <v>0</v>
      </c>
      <c r="AA272" s="5">
        <v>48.33</v>
      </c>
    </row>
    <row r="273" spans="12:27" x14ac:dyDescent="0.25">
      <c r="L273" s="28"/>
      <c r="M273" s="28"/>
      <c r="N273" s="69"/>
      <c r="O273" s="28"/>
      <c r="P273" s="25" t="s">
        <v>757</v>
      </c>
      <c r="Q273" s="25" t="s">
        <v>113</v>
      </c>
      <c r="R273" s="60" t="s">
        <v>114</v>
      </c>
      <c r="S273" s="24">
        <v>45540</v>
      </c>
      <c r="T273" s="25" t="s">
        <v>758</v>
      </c>
      <c r="U273" s="25" t="s">
        <v>83</v>
      </c>
      <c r="V273" s="25" t="s">
        <v>572</v>
      </c>
      <c r="W273" s="52" t="s">
        <v>759</v>
      </c>
      <c r="X273" s="52" t="s">
        <v>572</v>
      </c>
      <c r="Y273" s="53">
        <v>0</v>
      </c>
      <c r="Z273" s="53">
        <v>0</v>
      </c>
      <c r="AA273" s="5">
        <v>129.93</v>
      </c>
    </row>
    <row r="274" spans="12:27" x14ac:dyDescent="0.25">
      <c r="L274" s="28"/>
      <c r="M274" s="28"/>
      <c r="N274" s="68"/>
      <c r="O274" s="29"/>
      <c r="P274" s="25" t="s">
        <v>760</v>
      </c>
      <c r="Q274" s="25" t="s">
        <v>113</v>
      </c>
      <c r="R274" s="60" t="s">
        <v>114</v>
      </c>
      <c r="S274" s="24">
        <v>45540</v>
      </c>
      <c r="T274" s="25" t="s">
        <v>761</v>
      </c>
      <c r="U274" s="25" t="s">
        <v>83</v>
      </c>
      <c r="V274" s="25" t="s">
        <v>249</v>
      </c>
      <c r="W274" s="52" t="s">
        <v>762</v>
      </c>
      <c r="X274" s="52" t="s">
        <v>249</v>
      </c>
      <c r="Y274" s="53">
        <v>0</v>
      </c>
      <c r="Z274" s="53">
        <v>0</v>
      </c>
      <c r="AA274" s="5">
        <v>1426.87</v>
      </c>
    </row>
    <row r="275" spans="12:27" x14ac:dyDescent="0.25">
      <c r="L275" s="28"/>
      <c r="M275" s="28"/>
      <c r="N275" s="67">
        <v>45541</v>
      </c>
      <c r="O275" s="23" t="s">
        <v>111</v>
      </c>
      <c r="P275" s="25" t="s">
        <v>763</v>
      </c>
      <c r="Q275" s="25" t="s">
        <v>113</v>
      </c>
      <c r="R275" s="60" t="s">
        <v>114</v>
      </c>
      <c r="S275" s="24">
        <v>45541</v>
      </c>
      <c r="T275" s="25" t="s">
        <v>83</v>
      </c>
      <c r="U275" s="25" t="s">
        <v>83</v>
      </c>
      <c r="V275" s="25" t="s">
        <v>764</v>
      </c>
      <c r="W275" s="52" t="s">
        <v>765</v>
      </c>
      <c r="X275" s="52" t="s">
        <v>83</v>
      </c>
      <c r="Y275" s="53">
        <v>0</v>
      </c>
      <c r="Z275" s="53">
        <v>449.2</v>
      </c>
      <c r="AA275" s="5">
        <v>0</v>
      </c>
    </row>
    <row r="276" spans="12:27" x14ac:dyDescent="0.25">
      <c r="L276" s="28"/>
      <c r="M276" s="28"/>
      <c r="N276" s="68"/>
      <c r="O276" s="29"/>
      <c r="P276" s="25" t="s">
        <v>766</v>
      </c>
      <c r="Q276" s="25" t="s">
        <v>113</v>
      </c>
      <c r="R276" s="60" t="s">
        <v>114</v>
      </c>
      <c r="S276" s="24">
        <v>45541</v>
      </c>
      <c r="T276" s="25" t="s">
        <v>83</v>
      </c>
      <c r="U276" s="25" t="s">
        <v>83</v>
      </c>
      <c r="V276" s="25" t="s">
        <v>767</v>
      </c>
      <c r="W276" s="52" t="s">
        <v>768</v>
      </c>
      <c r="X276" s="52" t="s">
        <v>83</v>
      </c>
      <c r="Y276" s="53">
        <v>0</v>
      </c>
      <c r="Z276" s="53">
        <v>67.38</v>
      </c>
      <c r="AA276" s="5">
        <v>0</v>
      </c>
    </row>
    <row r="277" spans="12:27" x14ac:dyDescent="0.25">
      <c r="L277" s="28"/>
      <c r="M277" s="28"/>
      <c r="N277" s="24">
        <v>45542</v>
      </c>
      <c r="O277" s="25" t="s">
        <v>253</v>
      </c>
      <c r="P277" s="25" t="s">
        <v>769</v>
      </c>
      <c r="Q277" s="25" t="s">
        <v>113</v>
      </c>
      <c r="R277" s="60" t="s">
        <v>114</v>
      </c>
      <c r="S277" s="24">
        <v>45544</v>
      </c>
      <c r="T277" s="25" t="s">
        <v>645</v>
      </c>
      <c r="U277" s="25" t="s">
        <v>83</v>
      </c>
      <c r="V277" s="25" t="s">
        <v>249</v>
      </c>
      <c r="W277" s="52" t="s">
        <v>770</v>
      </c>
      <c r="X277" s="52" t="s">
        <v>249</v>
      </c>
      <c r="Y277" s="53">
        <v>0</v>
      </c>
      <c r="Z277" s="53">
        <v>233.73</v>
      </c>
      <c r="AA277" s="5">
        <v>-234.59</v>
      </c>
    </row>
    <row r="278" spans="12:27" x14ac:dyDescent="0.25">
      <c r="L278" s="28"/>
      <c r="M278" s="28"/>
      <c r="N278" s="67">
        <v>45545</v>
      </c>
      <c r="O278" s="23" t="s">
        <v>253</v>
      </c>
      <c r="P278" s="25" t="s">
        <v>771</v>
      </c>
      <c r="Q278" s="25" t="s">
        <v>113</v>
      </c>
      <c r="R278" s="60" t="s">
        <v>114</v>
      </c>
      <c r="S278" s="24">
        <v>45545</v>
      </c>
      <c r="T278" s="25" t="s">
        <v>741</v>
      </c>
      <c r="U278" s="25" t="s">
        <v>83</v>
      </c>
      <c r="V278" s="25" t="s">
        <v>249</v>
      </c>
      <c r="W278" s="52" t="s">
        <v>772</v>
      </c>
      <c r="X278" s="52" t="s">
        <v>249</v>
      </c>
      <c r="Y278" s="53">
        <v>0</v>
      </c>
      <c r="Z278" s="53">
        <v>239.78</v>
      </c>
      <c r="AA278" s="5">
        <v>-240.66</v>
      </c>
    </row>
    <row r="279" spans="12:27" x14ac:dyDescent="0.25">
      <c r="L279" s="28"/>
      <c r="M279" s="28"/>
      <c r="N279" s="69"/>
      <c r="O279" s="28"/>
      <c r="P279" s="25" t="s">
        <v>773</v>
      </c>
      <c r="Q279" s="25" t="s">
        <v>113</v>
      </c>
      <c r="R279" s="60" t="s">
        <v>114</v>
      </c>
      <c r="S279" s="24">
        <v>45545</v>
      </c>
      <c r="T279" s="25" t="s">
        <v>761</v>
      </c>
      <c r="U279" s="25" t="s">
        <v>83</v>
      </c>
      <c r="V279" s="25" t="s">
        <v>249</v>
      </c>
      <c r="W279" s="52" t="s">
        <v>774</v>
      </c>
      <c r="X279" s="52" t="s">
        <v>249</v>
      </c>
      <c r="Y279" s="53">
        <v>0</v>
      </c>
      <c r="Z279" s="53">
        <v>1067.06</v>
      </c>
      <c r="AA279" s="5">
        <v>-1070.99</v>
      </c>
    </row>
    <row r="280" spans="12:27" x14ac:dyDescent="0.25">
      <c r="L280" s="28"/>
      <c r="M280" s="28"/>
      <c r="N280" s="68"/>
      <c r="O280" s="29"/>
      <c r="P280" s="25" t="s">
        <v>775</v>
      </c>
      <c r="Q280" s="25" t="s">
        <v>113</v>
      </c>
      <c r="R280" s="60" t="s">
        <v>114</v>
      </c>
      <c r="S280" s="24">
        <v>45545</v>
      </c>
      <c r="T280" s="25" t="s">
        <v>729</v>
      </c>
      <c r="U280" s="25" t="s">
        <v>776</v>
      </c>
      <c r="V280" s="25" t="s">
        <v>572</v>
      </c>
      <c r="W280" s="52" t="s">
        <v>777</v>
      </c>
      <c r="X280" s="52" t="s">
        <v>572</v>
      </c>
      <c r="Y280" s="53">
        <v>0</v>
      </c>
      <c r="Z280" s="53">
        <v>190.11</v>
      </c>
      <c r="AA280" s="5">
        <v>-138.56</v>
      </c>
    </row>
    <row r="281" spans="12:27" x14ac:dyDescent="0.25">
      <c r="L281" s="28"/>
      <c r="M281" s="28"/>
      <c r="N281" s="67">
        <v>45546</v>
      </c>
      <c r="O281" s="25" t="s">
        <v>154</v>
      </c>
      <c r="P281" s="25" t="s">
        <v>778</v>
      </c>
      <c r="Q281" s="25" t="s">
        <v>113</v>
      </c>
      <c r="R281" s="60" t="s">
        <v>114</v>
      </c>
      <c r="S281" s="24">
        <v>45546</v>
      </c>
      <c r="T281" s="25" t="s">
        <v>779</v>
      </c>
      <c r="U281" s="25" t="s">
        <v>83</v>
      </c>
      <c r="V281" s="25" t="s">
        <v>249</v>
      </c>
      <c r="W281" s="52" t="s">
        <v>780</v>
      </c>
      <c r="X281" s="52" t="s">
        <v>249</v>
      </c>
      <c r="Y281" s="53">
        <v>0</v>
      </c>
      <c r="Z281" s="53">
        <v>0</v>
      </c>
      <c r="AA281" s="5">
        <v>301.32</v>
      </c>
    </row>
    <row r="282" spans="12:27" x14ac:dyDescent="0.25">
      <c r="L282" s="28"/>
      <c r="M282" s="28"/>
      <c r="N282" s="69"/>
      <c r="O282" s="25" t="s">
        <v>159</v>
      </c>
      <c r="P282" s="25" t="s">
        <v>781</v>
      </c>
      <c r="Q282" s="25" t="s">
        <v>113</v>
      </c>
      <c r="R282" s="60" t="s">
        <v>114</v>
      </c>
      <c r="S282" s="24">
        <v>45546</v>
      </c>
      <c r="T282" s="25" t="s">
        <v>751</v>
      </c>
      <c r="U282" s="25" t="s">
        <v>83</v>
      </c>
      <c r="V282" s="25" t="s">
        <v>752</v>
      </c>
      <c r="W282" s="52" t="s">
        <v>782</v>
      </c>
      <c r="X282" s="52" t="s">
        <v>752</v>
      </c>
      <c r="Y282" s="53">
        <v>0</v>
      </c>
      <c r="Z282" s="53">
        <v>149.71</v>
      </c>
      <c r="AA282" s="5">
        <v>-153.34</v>
      </c>
    </row>
    <row r="283" spans="12:27" x14ac:dyDescent="0.25">
      <c r="L283" s="28"/>
      <c r="M283" s="28"/>
      <c r="N283" s="69"/>
      <c r="O283" s="23" t="s">
        <v>253</v>
      </c>
      <c r="P283" s="25" t="s">
        <v>783</v>
      </c>
      <c r="Q283" s="25" t="s">
        <v>113</v>
      </c>
      <c r="R283" s="60" t="s">
        <v>114</v>
      </c>
      <c r="S283" s="24">
        <v>45546</v>
      </c>
      <c r="T283" s="25" t="s">
        <v>761</v>
      </c>
      <c r="U283" s="25" t="s">
        <v>83</v>
      </c>
      <c r="V283" s="25" t="s">
        <v>249</v>
      </c>
      <c r="W283" s="52" t="s">
        <v>784</v>
      </c>
      <c r="X283" s="52" t="s">
        <v>249</v>
      </c>
      <c r="Y283" s="53">
        <v>0</v>
      </c>
      <c r="Z283" s="53">
        <v>354.57</v>
      </c>
      <c r="AA283" s="5">
        <v>-355.88</v>
      </c>
    </row>
    <row r="284" spans="12:27" x14ac:dyDescent="0.25">
      <c r="L284" s="28"/>
      <c r="M284" s="28"/>
      <c r="N284" s="68"/>
      <c r="O284" s="29"/>
      <c r="P284" s="25" t="s">
        <v>785</v>
      </c>
      <c r="Q284" s="25" t="s">
        <v>113</v>
      </c>
      <c r="R284" s="60" t="s">
        <v>114</v>
      </c>
      <c r="S284" s="24">
        <v>45546</v>
      </c>
      <c r="T284" s="25" t="s">
        <v>744</v>
      </c>
      <c r="U284" s="25" t="s">
        <v>83</v>
      </c>
      <c r="V284" s="25" t="s">
        <v>560</v>
      </c>
      <c r="W284" s="52" t="s">
        <v>786</v>
      </c>
      <c r="X284" s="52" t="s">
        <v>560</v>
      </c>
      <c r="Y284" s="53">
        <v>0</v>
      </c>
      <c r="Z284" s="53">
        <v>258.04000000000002</v>
      </c>
      <c r="AA284" s="5">
        <v>-260.42</v>
      </c>
    </row>
    <row r="285" spans="12:27" x14ac:dyDescent="0.25">
      <c r="L285" s="28"/>
      <c r="M285" s="28"/>
      <c r="N285" s="67">
        <v>45547</v>
      </c>
      <c r="O285" s="23" t="s">
        <v>159</v>
      </c>
      <c r="P285" s="25" t="s">
        <v>787</v>
      </c>
      <c r="Q285" s="25" t="s">
        <v>113</v>
      </c>
      <c r="R285" s="60" t="s">
        <v>114</v>
      </c>
      <c r="S285" s="24">
        <v>45547</v>
      </c>
      <c r="T285" s="25" t="s">
        <v>747</v>
      </c>
      <c r="U285" s="25" t="s">
        <v>83</v>
      </c>
      <c r="V285" s="25" t="s">
        <v>748</v>
      </c>
      <c r="W285" s="52" t="s">
        <v>788</v>
      </c>
      <c r="X285" s="52" t="s">
        <v>748</v>
      </c>
      <c r="Y285" s="53">
        <v>0</v>
      </c>
      <c r="Z285" s="53">
        <v>192.61</v>
      </c>
      <c r="AA285" s="5">
        <v>-192.61</v>
      </c>
    </row>
    <row r="286" spans="12:27" x14ac:dyDescent="0.25">
      <c r="L286" s="28"/>
      <c r="M286" s="28"/>
      <c r="N286" s="69"/>
      <c r="O286" s="29"/>
      <c r="P286" s="25" t="s">
        <v>789</v>
      </c>
      <c r="Q286" s="25" t="s">
        <v>113</v>
      </c>
      <c r="R286" s="60" t="s">
        <v>114</v>
      </c>
      <c r="S286" s="24">
        <v>45547</v>
      </c>
      <c r="T286" s="25" t="s">
        <v>738</v>
      </c>
      <c r="U286" s="25" t="s">
        <v>83</v>
      </c>
      <c r="V286" s="25" t="s">
        <v>642</v>
      </c>
      <c r="W286" s="52" t="s">
        <v>790</v>
      </c>
      <c r="X286" s="52" t="s">
        <v>642</v>
      </c>
      <c r="Y286" s="53">
        <v>0</v>
      </c>
      <c r="Z286" s="53">
        <v>190.38</v>
      </c>
      <c r="AA286" s="5">
        <v>-190.38</v>
      </c>
    </row>
    <row r="287" spans="12:27" x14ac:dyDescent="0.25">
      <c r="L287" s="28"/>
      <c r="M287" s="28"/>
      <c r="N287" s="69"/>
      <c r="O287" s="23" t="s">
        <v>253</v>
      </c>
      <c r="P287" s="25" t="s">
        <v>791</v>
      </c>
      <c r="Q287" s="25" t="s">
        <v>113</v>
      </c>
      <c r="R287" s="60" t="s">
        <v>114</v>
      </c>
      <c r="S287" s="24">
        <v>45547</v>
      </c>
      <c r="T287" s="25" t="s">
        <v>779</v>
      </c>
      <c r="U287" s="25" t="s">
        <v>83</v>
      </c>
      <c r="V287" s="25" t="s">
        <v>249</v>
      </c>
      <c r="W287" s="52" t="s">
        <v>792</v>
      </c>
      <c r="X287" s="52" t="s">
        <v>249</v>
      </c>
      <c r="Y287" s="53">
        <v>0</v>
      </c>
      <c r="Z287" s="53">
        <v>253.48</v>
      </c>
      <c r="AA287" s="5">
        <v>-254.4</v>
      </c>
    </row>
    <row r="288" spans="12:27" x14ac:dyDescent="0.25">
      <c r="L288" s="28"/>
      <c r="M288" s="28"/>
      <c r="N288" s="68"/>
      <c r="O288" s="29"/>
      <c r="P288" s="25" t="s">
        <v>793</v>
      </c>
      <c r="Q288" s="25" t="s">
        <v>113</v>
      </c>
      <c r="R288" s="60" t="s">
        <v>114</v>
      </c>
      <c r="S288" s="24">
        <v>45547</v>
      </c>
      <c r="T288" s="25" t="s">
        <v>732</v>
      </c>
      <c r="U288" s="25" t="s">
        <v>83</v>
      </c>
      <c r="V288" s="25" t="s">
        <v>660</v>
      </c>
      <c r="W288" s="52" t="s">
        <v>794</v>
      </c>
      <c r="X288" s="52" t="s">
        <v>660</v>
      </c>
      <c r="Y288" s="53">
        <v>0</v>
      </c>
      <c r="Z288" s="53">
        <v>37.85</v>
      </c>
      <c r="AA288" s="5">
        <v>-37.85</v>
      </c>
    </row>
    <row r="289" spans="12:27" x14ac:dyDescent="0.25">
      <c r="L289" s="28"/>
      <c r="M289" s="28"/>
      <c r="N289" s="24">
        <v>45552</v>
      </c>
      <c r="O289" s="25" t="s">
        <v>253</v>
      </c>
      <c r="P289" s="25" t="s">
        <v>795</v>
      </c>
      <c r="Q289" s="25" t="s">
        <v>113</v>
      </c>
      <c r="R289" s="60" t="s">
        <v>114</v>
      </c>
      <c r="S289" s="24">
        <v>45552</v>
      </c>
      <c r="T289" s="25" t="s">
        <v>758</v>
      </c>
      <c r="U289" s="25" t="s">
        <v>796</v>
      </c>
      <c r="V289" s="25" t="s">
        <v>572</v>
      </c>
      <c r="W289" s="52" t="s">
        <v>797</v>
      </c>
      <c r="X289" s="52" t="s">
        <v>572</v>
      </c>
      <c r="Y289" s="53">
        <v>0</v>
      </c>
      <c r="Z289" s="53">
        <v>148.76</v>
      </c>
      <c r="AA289" s="5">
        <v>-129.93</v>
      </c>
    </row>
    <row r="290" spans="12:27" x14ac:dyDescent="0.25">
      <c r="L290" s="28"/>
      <c r="M290" s="28"/>
      <c r="N290" s="67">
        <v>45553</v>
      </c>
      <c r="O290" s="23" t="s">
        <v>253</v>
      </c>
      <c r="P290" s="25" t="s">
        <v>798</v>
      </c>
      <c r="Q290" s="25" t="s">
        <v>113</v>
      </c>
      <c r="R290" s="60" t="s">
        <v>114</v>
      </c>
      <c r="S290" s="24">
        <v>45553</v>
      </c>
      <c r="T290" s="25" t="s">
        <v>735</v>
      </c>
      <c r="U290" s="25" t="s">
        <v>799</v>
      </c>
      <c r="V290" s="25" t="s">
        <v>572</v>
      </c>
      <c r="W290" s="52" t="s">
        <v>800</v>
      </c>
      <c r="X290" s="52" t="s">
        <v>572</v>
      </c>
      <c r="Y290" s="53">
        <v>0</v>
      </c>
      <c r="Z290" s="53">
        <v>294.66000000000003</v>
      </c>
      <c r="AA290" s="5">
        <v>-246.57</v>
      </c>
    </row>
    <row r="291" spans="12:27" x14ac:dyDescent="0.25">
      <c r="L291" s="28"/>
      <c r="M291" s="28"/>
      <c r="N291" s="68"/>
      <c r="O291" s="29"/>
      <c r="P291" s="25" t="s">
        <v>801</v>
      </c>
      <c r="Q291" s="25" t="s">
        <v>113</v>
      </c>
      <c r="R291" s="60" t="s">
        <v>114</v>
      </c>
      <c r="S291" s="24">
        <v>45553</v>
      </c>
      <c r="T291" s="25" t="s">
        <v>755</v>
      </c>
      <c r="U291" s="25" t="s">
        <v>83</v>
      </c>
      <c r="V291" s="25" t="s">
        <v>560</v>
      </c>
      <c r="W291" s="52" t="s">
        <v>802</v>
      </c>
      <c r="X291" s="52" t="s">
        <v>560</v>
      </c>
      <c r="Y291" s="53">
        <v>0</v>
      </c>
      <c r="Z291" s="53">
        <v>47.89</v>
      </c>
      <c r="AA291" s="5">
        <v>-48.33</v>
      </c>
    </row>
    <row r="292" spans="12:27" x14ac:dyDescent="0.25">
      <c r="L292" s="28"/>
      <c r="M292" s="28"/>
      <c r="N292" s="24">
        <v>45554</v>
      </c>
      <c r="O292" s="25" t="s">
        <v>253</v>
      </c>
      <c r="P292" s="25" t="s">
        <v>803</v>
      </c>
      <c r="Q292" s="25" t="s">
        <v>113</v>
      </c>
      <c r="R292" s="60" t="s">
        <v>114</v>
      </c>
      <c r="S292" s="24">
        <v>45554</v>
      </c>
      <c r="T292" s="25" t="s">
        <v>744</v>
      </c>
      <c r="U292" s="25" t="s">
        <v>83</v>
      </c>
      <c r="V292" s="25" t="s">
        <v>560</v>
      </c>
      <c r="W292" s="52" t="s">
        <v>804</v>
      </c>
      <c r="X292" s="52" t="s">
        <v>560</v>
      </c>
      <c r="Y292" s="53">
        <v>0</v>
      </c>
      <c r="Z292" s="53">
        <v>74.7</v>
      </c>
      <c r="AA292" s="5">
        <v>-75.39</v>
      </c>
    </row>
    <row r="293" spans="12:27" x14ac:dyDescent="0.25">
      <c r="L293" s="28"/>
      <c r="M293" s="28"/>
      <c r="N293" s="67">
        <v>45565</v>
      </c>
      <c r="O293" s="23" t="s">
        <v>111</v>
      </c>
      <c r="P293" s="25" t="s">
        <v>805</v>
      </c>
      <c r="Q293" s="25" t="s">
        <v>113</v>
      </c>
      <c r="R293" s="60" t="s">
        <v>114</v>
      </c>
      <c r="S293" s="24">
        <v>45565</v>
      </c>
      <c r="T293" s="25" t="s">
        <v>83</v>
      </c>
      <c r="U293" s="25" t="s">
        <v>83</v>
      </c>
      <c r="V293" s="25" t="s">
        <v>806</v>
      </c>
      <c r="W293" s="52" t="s">
        <v>807</v>
      </c>
      <c r="X293" s="52" t="s">
        <v>83</v>
      </c>
      <c r="Y293" s="53">
        <v>0</v>
      </c>
      <c r="Z293" s="53">
        <v>71.91</v>
      </c>
      <c r="AA293" s="5">
        <v>0</v>
      </c>
    </row>
    <row r="294" spans="12:27" x14ac:dyDescent="0.25">
      <c r="L294" s="28"/>
      <c r="M294" s="28"/>
      <c r="N294" s="68"/>
      <c r="O294" s="29"/>
      <c r="P294" s="25" t="s">
        <v>808</v>
      </c>
      <c r="Q294" s="25" t="s">
        <v>113</v>
      </c>
      <c r="R294" s="60" t="s">
        <v>114</v>
      </c>
      <c r="S294" s="24">
        <v>45565</v>
      </c>
      <c r="T294" s="25" t="s">
        <v>83</v>
      </c>
      <c r="U294" s="25" t="s">
        <v>83</v>
      </c>
      <c r="V294" s="25" t="s">
        <v>809</v>
      </c>
      <c r="W294" s="52" t="s">
        <v>810</v>
      </c>
      <c r="X294" s="52" t="s">
        <v>83</v>
      </c>
      <c r="Y294" s="53">
        <v>0</v>
      </c>
      <c r="Z294" s="53">
        <v>46.15</v>
      </c>
      <c r="AA294" s="5">
        <v>0</v>
      </c>
    </row>
    <row r="295" spans="12:27" x14ac:dyDescent="0.25">
      <c r="L295" s="28"/>
      <c r="M295" s="28"/>
      <c r="N295" s="24">
        <v>45566</v>
      </c>
      <c r="O295" s="25" t="s">
        <v>154</v>
      </c>
      <c r="P295" s="25" t="s">
        <v>811</v>
      </c>
      <c r="Q295" s="25" t="s">
        <v>113</v>
      </c>
      <c r="R295" s="60" t="s">
        <v>114</v>
      </c>
      <c r="S295" s="24">
        <v>45566</v>
      </c>
      <c r="T295" s="25" t="s">
        <v>812</v>
      </c>
      <c r="U295" s="25" t="s">
        <v>83</v>
      </c>
      <c r="V295" s="25" t="s">
        <v>249</v>
      </c>
      <c r="W295" s="52" t="s">
        <v>813</v>
      </c>
      <c r="X295" s="52" t="s">
        <v>249</v>
      </c>
      <c r="Y295" s="53">
        <v>0</v>
      </c>
      <c r="Z295" s="53">
        <v>0</v>
      </c>
      <c r="AA295" s="5">
        <v>157.1</v>
      </c>
    </row>
    <row r="296" spans="12:27" x14ac:dyDescent="0.25">
      <c r="L296" s="28"/>
      <c r="M296" s="28"/>
      <c r="N296" s="24">
        <v>45569</v>
      </c>
      <c r="O296" s="25" t="s">
        <v>253</v>
      </c>
      <c r="P296" s="25" t="s">
        <v>814</v>
      </c>
      <c r="Q296" s="25" t="s">
        <v>113</v>
      </c>
      <c r="R296" s="60" t="s">
        <v>114</v>
      </c>
      <c r="S296" s="24">
        <v>45569</v>
      </c>
      <c r="T296" s="25" t="s">
        <v>812</v>
      </c>
      <c r="U296" s="25" t="s">
        <v>83</v>
      </c>
      <c r="V296" s="25" t="s">
        <v>249</v>
      </c>
      <c r="W296" s="52" t="s">
        <v>815</v>
      </c>
      <c r="X296" s="52" t="s">
        <v>249</v>
      </c>
      <c r="Y296" s="53">
        <v>0</v>
      </c>
      <c r="Z296" s="53">
        <v>156.52000000000001</v>
      </c>
      <c r="AA296" s="5">
        <v>-157.1</v>
      </c>
    </row>
    <row r="297" spans="12:27" x14ac:dyDescent="0.25">
      <c r="L297" s="28"/>
      <c r="M297" s="28"/>
      <c r="N297" s="67">
        <v>45571</v>
      </c>
      <c r="O297" s="23" t="s">
        <v>154</v>
      </c>
      <c r="P297" s="25" t="s">
        <v>816</v>
      </c>
      <c r="Q297" s="25" t="s">
        <v>113</v>
      </c>
      <c r="R297" s="60" t="s">
        <v>114</v>
      </c>
      <c r="S297" s="24">
        <v>45572</v>
      </c>
      <c r="T297" s="25" t="s">
        <v>817</v>
      </c>
      <c r="U297" s="25" t="s">
        <v>83</v>
      </c>
      <c r="V297" s="25" t="s">
        <v>560</v>
      </c>
      <c r="W297" s="52" t="s">
        <v>818</v>
      </c>
      <c r="X297" s="52" t="s">
        <v>560</v>
      </c>
      <c r="Y297" s="53">
        <v>0</v>
      </c>
      <c r="Z297" s="53">
        <v>0</v>
      </c>
      <c r="AA297" s="5">
        <v>197.6</v>
      </c>
    </row>
    <row r="298" spans="12:27" x14ac:dyDescent="0.25">
      <c r="L298" s="28"/>
      <c r="M298" s="28"/>
      <c r="N298" s="69"/>
      <c r="O298" s="28"/>
      <c r="P298" s="25" t="s">
        <v>819</v>
      </c>
      <c r="Q298" s="25" t="s">
        <v>113</v>
      </c>
      <c r="R298" s="60" t="s">
        <v>114</v>
      </c>
      <c r="S298" s="24">
        <v>45572</v>
      </c>
      <c r="T298" s="25" t="s">
        <v>820</v>
      </c>
      <c r="U298" s="25" t="s">
        <v>83</v>
      </c>
      <c r="V298" s="25" t="s">
        <v>572</v>
      </c>
      <c r="W298" s="52" t="s">
        <v>821</v>
      </c>
      <c r="X298" s="52" t="s">
        <v>572</v>
      </c>
      <c r="Y298" s="53">
        <v>0</v>
      </c>
      <c r="Z298" s="53">
        <v>0</v>
      </c>
      <c r="AA298" s="5">
        <v>388.4</v>
      </c>
    </row>
    <row r="299" spans="12:27" x14ac:dyDescent="0.25">
      <c r="L299" s="28"/>
      <c r="M299" s="28"/>
      <c r="N299" s="69"/>
      <c r="O299" s="28"/>
      <c r="P299" s="25" t="s">
        <v>822</v>
      </c>
      <c r="Q299" s="25" t="s">
        <v>113</v>
      </c>
      <c r="R299" s="60" t="s">
        <v>114</v>
      </c>
      <c r="S299" s="24">
        <v>45572</v>
      </c>
      <c r="T299" s="25" t="s">
        <v>823</v>
      </c>
      <c r="U299" s="25" t="s">
        <v>83</v>
      </c>
      <c r="V299" s="25" t="s">
        <v>642</v>
      </c>
      <c r="W299" s="52" t="s">
        <v>824</v>
      </c>
      <c r="X299" s="52" t="s">
        <v>642</v>
      </c>
      <c r="Y299" s="53">
        <v>0</v>
      </c>
      <c r="Z299" s="53">
        <v>0</v>
      </c>
      <c r="AA299" s="5">
        <v>129.59</v>
      </c>
    </row>
    <row r="300" spans="12:27" x14ac:dyDescent="0.25">
      <c r="L300" s="28"/>
      <c r="M300" s="28"/>
      <c r="N300" s="68"/>
      <c r="O300" s="29"/>
      <c r="P300" s="25" t="s">
        <v>825</v>
      </c>
      <c r="Q300" s="25" t="s">
        <v>113</v>
      </c>
      <c r="R300" s="60" t="s">
        <v>114</v>
      </c>
      <c r="S300" s="24">
        <v>45572</v>
      </c>
      <c r="T300" s="25" t="s">
        <v>826</v>
      </c>
      <c r="U300" s="25" t="s">
        <v>83</v>
      </c>
      <c r="V300" s="25" t="s">
        <v>560</v>
      </c>
      <c r="W300" s="52" t="s">
        <v>827</v>
      </c>
      <c r="X300" s="52" t="s">
        <v>560</v>
      </c>
      <c r="Y300" s="53">
        <v>0</v>
      </c>
      <c r="Z300" s="53">
        <v>0</v>
      </c>
      <c r="AA300" s="5">
        <v>423.1</v>
      </c>
    </row>
    <row r="301" spans="12:27" x14ac:dyDescent="0.25">
      <c r="L301" s="28"/>
      <c r="M301" s="28"/>
      <c r="N301" s="24">
        <v>45573</v>
      </c>
      <c r="O301" s="25" t="s">
        <v>253</v>
      </c>
      <c r="P301" s="25" t="s">
        <v>828</v>
      </c>
      <c r="Q301" s="25" t="s">
        <v>113</v>
      </c>
      <c r="R301" s="60" t="s">
        <v>114</v>
      </c>
      <c r="S301" s="24">
        <v>45573</v>
      </c>
      <c r="T301" s="25" t="s">
        <v>663</v>
      </c>
      <c r="U301" s="25" t="s">
        <v>83</v>
      </c>
      <c r="V301" s="25" t="s">
        <v>560</v>
      </c>
      <c r="W301" s="52" t="s">
        <v>829</v>
      </c>
      <c r="X301" s="52" t="s">
        <v>560</v>
      </c>
      <c r="Y301" s="53">
        <v>0</v>
      </c>
      <c r="Z301" s="53">
        <v>173.06</v>
      </c>
      <c r="AA301" s="5">
        <v>-174.66</v>
      </c>
    </row>
    <row r="302" spans="12:27" x14ac:dyDescent="0.25">
      <c r="L302" s="28"/>
      <c r="M302" s="28"/>
      <c r="N302" s="67">
        <v>45574</v>
      </c>
      <c r="O302" s="25" t="s">
        <v>111</v>
      </c>
      <c r="P302" s="25" t="s">
        <v>830</v>
      </c>
      <c r="Q302" s="25" t="s">
        <v>113</v>
      </c>
      <c r="R302" s="60" t="s">
        <v>114</v>
      </c>
      <c r="S302" s="24">
        <v>45574</v>
      </c>
      <c r="T302" s="25" t="s">
        <v>83</v>
      </c>
      <c r="U302" s="25" t="s">
        <v>83</v>
      </c>
      <c r="V302" s="25" t="s">
        <v>831</v>
      </c>
      <c r="W302" s="52" t="s">
        <v>832</v>
      </c>
      <c r="X302" s="52" t="s">
        <v>83</v>
      </c>
      <c r="Y302" s="53">
        <v>0</v>
      </c>
      <c r="Z302" s="53">
        <v>54.34</v>
      </c>
      <c r="AA302" s="5">
        <v>0</v>
      </c>
    </row>
    <row r="303" spans="12:27" x14ac:dyDescent="0.25">
      <c r="L303" s="28"/>
      <c r="M303" s="28"/>
      <c r="N303" s="69"/>
      <c r="O303" s="23" t="s">
        <v>159</v>
      </c>
      <c r="P303" s="25" t="s">
        <v>833</v>
      </c>
      <c r="Q303" s="25" t="s">
        <v>113</v>
      </c>
      <c r="R303" s="60" t="s">
        <v>114</v>
      </c>
      <c r="S303" s="24">
        <v>45574</v>
      </c>
      <c r="T303" s="25" t="s">
        <v>641</v>
      </c>
      <c r="U303" s="25" t="s">
        <v>83</v>
      </c>
      <c r="V303" s="25" t="s">
        <v>642</v>
      </c>
      <c r="W303" s="52" t="s">
        <v>834</v>
      </c>
      <c r="X303" s="52" t="s">
        <v>642</v>
      </c>
      <c r="Y303" s="53">
        <v>0</v>
      </c>
      <c r="Z303" s="53">
        <v>656.35</v>
      </c>
      <c r="AA303" s="5">
        <v>-656.35</v>
      </c>
    </row>
    <row r="304" spans="12:27" x14ac:dyDescent="0.25">
      <c r="L304" s="29"/>
      <c r="M304" s="29"/>
      <c r="N304" s="68"/>
      <c r="O304" s="29"/>
      <c r="P304" s="25" t="s">
        <v>835</v>
      </c>
      <c r="Q304" s="25" t="s">
        <v>113</v>
      </c>
      <c r="R304" s="60" t="s">
        <v>114</v>
      </c>
      <c r="S304" s="24">
        <v>45574</v>
      </c>
      <c r="T304" s="25" t="s">
        <v>648</v>
      </c>
      <c r="U304" s="25" t="s">
        <v>83</v>
      </c>
      <c r="V304" s="25" t="s">
        <v>642</v>
      </c>
      <c r="W304" s="52" t="s">
        <v>836</v>
      </c>
      <c r="X304" s="52" t="s">
        <v>642</v>
      </c>
      <c r="Y304" s="53">
        <v>0</v>
      </c>
      <c r="Z304" s="53">
        <v>857.57</v>
      </c>
      <c r="AA304" s="5">
        <v>-857.57</v>
      </c>
    </row>
    <row r="305" spans="12:27" x14ac:dyDescent="0.25">
      <c r="L305" s="28"/>
      <c r="M305" s="28"/>
      <c r="N305" s="24">
        <v>45575</v>
      </c>
      <c r="O305" s="25" t="s">
        <v>111</v>
      </c>
      <c r="P305" s="25" t="s">
        <v>837</v>
      </c>
      <c r="Q305" s="25" t="s">
        <v>113</v>
      </c>
      <c r="R305" s="60" t="s">
        <v>114</v>
      </c>
      <c r="S305" s="24">
        <v>45575</v>
      </c>
      <c r="T305" s="25" t="s">
        <v>83</v>
      </c>
      <c r="U305" s="25" t="s">
        <v>83</v>
      </c>
      <c r="V305" s="25" t="s">
        <v>838</v>
      </c>
      <c r="W305" s="52" t="s">
        <v>839</v>
      </c>
      <c r="X305" s="52" t="s">
        <v>83</v>
      </c>
      <c r="Y305" s="53">
        <v>0</v>
      </c>
      <c r="Z305" s="53">
        <v>133.88999999999999</v>
      </c>
      <c r="AA305" s="5">
        <v>0</v>
      </c>
    </row>
    <row r="306" spans="12:27" x14ac:dyDescent="0.25">
      <c r="L306" s="28"/>
      <c r="M306" s="28"/>
      <c r="N306" s="67">
        <v>45576</v>
      </c>
      <c r="O306" s="25" t="s">
        <v>111</v>
      </c>
      <c r="P306" s="25" t="s">
        <v>840</v>
      </c>
      <c r="Q306" s="25" t="s">
        <v>113</v>
      </c>
      <c r="R306" s="60" t="s">
        <v>114</v>
      </c>
      <c r="S306" s="24">
        <v>45576</v>
      </c>
      <c r="T306" s="25" t="s">
        <v>83</v>
      </c>
      <c r="U306" s="25" t="s">
        <v>83</v>
      </c>
      <c r="V306" s="25" t="s">
        <v>841</v>
      </c>
      <c r="W306" s="52" t="s">
        <v>842</v>
      </c>
      <c r="X306" s="52" t="s">
        <v>83</v>
      </c>
      <c r="Y306" s="53">
        <v>0</v>
      </c>
      <c r="Z306" s="53">
        <v>109.72</v>
      </c>
      <c r="AA306" s="5">
        <v>0</v>
      </c>
    </row>
    <row r="307" spans="12:27" x14ac:dyDescent="0.25">
      <c r="L307" s="28"/>
      <c r="M307" s="28"/>
      <c r="N307" s="68"/>
      <c r="O307" s="25" t="s">
        <v>159</v>
      </c>
      <c r="P307" s="25" t="s">
        <v>843</v>
      </c>
      <c r="Q307" s="25" t="s">
        <v>113</v>
      </c>
      <c r="R307" s="60" t="s">
        <v>114</v>
      </c>
      <c r="S307" s="24">
        <v>45576</v>
      </c>
      <c r="T307" s="25" t="s">
        <v>823</v>
      </c>
      <c r="U307" s="25" t="s">
        <v>83</v>
      </c>
      <c r="V307" s="25" t="s">
        <v>642</v>
      </c>
      <c r="W307" s="52" t="s">
        <v>844</v>
      </c>
      <c r="X307" s="52" t="s">
        <v>642</v>
      </c>
      <c r="Y307" s="53">
        <v>0</v>
      </c>
      <c r="Z307" s="53">
        <v>140.22999999999999</v>
      </c>
      <c r="AA307" s="5">
        <v>-129.59</v>
      </c>
    </row>
    <row r="308" spans="12:27" x14ac:dyDescent="0.25">
      <c r="L308" s="28"/>
      <c r="M308" s="28"/>
      <c r="N308" s="67">
        <v>45580</v>
      </c>
      <c r="O308" s="23" t="s">
        <v>253</v>
      </c>
      <c r="P308" s="25" t="s">
        <v>845</v>
      </c>
      <c r="Q308" s="25" t="s">
        <v>113</v>
      </c>
      <c r="R308" s="60" t="s">
        <v>114</v>
      </c>
      <c r="S308" s="24">
        <v>45580</v>
      </c>
      <c r="T308" s="25" t="s">
        <v>820</v>
      </c>
      <c r="U308" s="25" t="s">
        <v>846</v>
      </c>
      <c r="V308" s="25" t="s">
        <v>572</v>
      </c>
      <c r="W308" s="52" t="s">
        <v>847</v>
      </c>
      <c r="X308" s="52" t="s">
        <v>572</v>
      </c>
      <c r="Y308" s="53">
        <v>0</v>
      </c>
      <c r="Z308" s="53">
        <v>431.94</v>
      </c>
      <c r="AA308" s="5">
        <v>-388.4</v>
      </c>
    </row>
    <row r="309" spans="12:27" x14ac:dyDescent="0.25">
      <c r="L309" s="28"/>
      <c r="M309" s="28"/>
      <c r="N309" s="69"/>
      <c r="O309" s="28"/>
      <c r="P309" s="25" t="s">
        <v>848</v>
      </c>
      <c r="Q309" s="25" t="s">
        <v>113</v>
      </c>
      <c r="R309" s="60" t="s">
        <v>114</v>
      </c>
      <c r="S309" s="24">
        <v>45580</v>
      </c>
      <c r="T309" s="25" t="s">
        <v>826</v>
      </c>
      <c r="U309" s="25" t="s">
        <v>83</v>
      </c>
      <c r="V309" s="25" t="s">
        <v>560</v>
      </c>
      <c r="W309" s="52" t="s">
        <v>849</v>
      </c>
      <c r="X309" s="52" t="s">
        <v>560</v>
      </c>
      <c r="Y309" s="53">
        <v>0</v>
      </c>
      <c r="Z309" s="53">
        <v>419.22</v>
      </c>
      <c r="AA309" s="5">
        <v>-423.1</v>
      </c>
    </row>
    <row r="310" spans="12:27" x14ac:dyDescent="0.25">
      <c r="L310" s="28"/>
      <c r="M310" s="28"/>
      <c r="N310" s="68"/>
      <c r="O310" s="29"/>
      <c r="P310" s="25" t="s">
        <v>850</v>
      </c>
      <c r="Q310" s="25" t="s">
        <v>113</v>
      </c>
      <c r="R310" s="60" t="s">
        <v>114</v>
      </c>
      <c r="S310" s="24">
        <v>45580</v>
      </c>
      <c r="T310" s="25" t="s">
        <v>817</v>
      </c>
      <c r="U310" s="25" t="s">
        <v>83</v>
      </c>
      <c r="V310" s="25" t="s">
        <v>560</v>
      </c>
      <c r="W310" s="52" t="s">
        <v>851</v>
      </c>
      <c r="X310" s="52" t="s">
        <v>560</v>
      </c>
      <c r="Y310" s="53">
        <v>0</v>
      </c>
      <c r="Z310" s="53">
        <v>226.82</v>
      </c>
      <c r="AA310" s="5">
        <v>-53.35</v>
      </c>
    </row>
    <row r="311" spans="12:27" x14ac:dyDescent="0.25">
      <c r="L311" s="28"/>
      <c r="M311" s="28"/>
      <c r="N311" s="24">
        <v>45587</v>
      </c>
      <c r="O311" s="25" t="s">
        <v>253</v>
      </c>
      <c r="P311" s="25" t="s">
        <v>852</v>
      </c>
      <c r="Q311" s="25" t="s">
        <v>113</v>
      </c>
      <c r="R311" s="60" t="s">
        <v>114</v>
      </c>
      <c r="S311" s="24">
        <v>45587</v>
      </c>
      <c r="T311" s="25" t="s">
        <v>817</v>
      </c>
      <c r="U311" s="25" t="s">
        <v>83</v>
      </c>
      <c r="V311" s="25" t="s">
        <v>560</v>
      </c>
      <c r="W311" s="52" t="s">
        <v>853</v>
      </c>
      <c r="X311" s="52" t="s">
        <v>560</v>
      </c>
      <c r="Y311" s="53">
        <v>0</v>
      </c>
      <c r="Z311" s="53">
        <v>142.93</v>
      </c>
      <c r="AA311" s="5">
        <v>-144.25</v>
      </c>
    </row>
    <row r="312" spans="12:27" x14ac:dyDescent="0.25">
      <c r="L312" s="28"/>
      <c r="M312" s="28"/>
      <c r="N312" s="67">
        <v>45589</v>
      </c>
      <c r="O312" s="23" t="s">
        <v>111</v>
      </c>
      <c r="P312" s="25" t="s">
        <v>854</v>
      </c>
      <c r="Q312" s="25" t="s">
        <v>113</v>
      </c>
      <c r="R312" s="60" t="s">
        <v>114</v>
      </c>
      <c r="S312" s="24">
        <v>45589</v>
      </c>
      <c r="T312" s="25" t="s">
        <v>83</v>
      </c>
      <c r="U312" s="25" t="s">
        <v>83</v>
      </c>
      <c r="V312" s="25" t="s">
        <v>855</v>
      </c>
      <c r="W312" s="52" t="s">
        <v>856</v>
      </c>
      <c r="X312" s="52" t="s">
        <v>83</v>
      </c>
      <c r="Y312" s="53">
        <v>0</v>
      </c>
      <c r="Z312" s="53">
        <v>136.93</v>
      </c>
      <c r="AA312" s="5">
        <v>0</v>
      </c>
    </row>
    <row r="313" spans="12:27" x14ac:dyDescent="0.25">
      <c r="L313" s="28"/>
      <c r="M313" s="28"/>
      <c r="N313" s="69"/>
      <c r="O313" s="28"/>
      <c r="P313" s="23" t="s">
        <v>857</v>
      </c>
      <c r="Q313" s="23" t="s">
        <v>113</v>
      </c>
      <c r="R313" s="61" t="s">
        <v>114</v>
      </c>
      <c r="S313" s="58">
        <v>45589</v>
      </c>
      <c r="T313" s="23" t="s">
        <v>83</v>
      </c>
      <c r="U313" s="23" t="s">
        <v>83</v>
      </c>
      <c r="V313" s="25" t="s">
        <v>858</v>
      </c>
      <c r="W313" s="52" t="s">
        <v>859</v>
      </c>
      <c r="X313" s="52" t="s">
        <v>83</v>
      </c>
      <c r="Y313" s="53">
        <v>0</v>
      </c>
      <c r="Z313" s="53">
        <v>24.85</v>
      </c>
      <c r="AA313" s="5">
        <v>0</v>
      </c>
    </row>
    <row r="314" spans="12:27" x14ac:dyDescent="0.25">
      <c r="L314" s="28"/>
      <c r="M314" s="28"/>
      <c r="N314" s="69"/>
      <c r="O314" s="28"/>
      <c r="P314" s="29"/>
      <c r="Q314" s="29"/>
      <c r="R314" s="63"/>
      <c r="S314" s="59"/>
      <c r="T314" s="29"/>
      <c r="U314" s="29"/>
      <c r="V314" s="25" t="s">
        <v>860</v>
      </c>
      <c r="W314" s="52" t="s">
        <v>859</v>
      </c>
      <c r="X314" s="52" t="s">
        <v>83</v>
      </c>
      <c r="Y314" s="53">
        <v>0</v>
      </c>
      <c r="Z314" s="53">
        <v>1.39</v>
      </c>
      <c r="AA314" s="5">
        <v>0</v>
      </c>
    </row>
    <row r="315" spans="12:27" x14ac:dyDescent="0.25">
      <c r="L315" s="28"/>
      <c r="M315" s="28"/>
      <c r="N315" s="69"/>
      <c r="O315" s="28"/>
      <c r="P315" s="23" t="s">
        <v>861</v>
      </c>
      <c r="Q315" s="23" t="s">
        <v>113</v>
      </c>
      <c r="R315" s="61" t="s">
        <v>114</v>
      </c>
      <c r="S315" s="58">
        <v>45589</v>
      </c>
      <c r="T315" s="23" t="s">
        <v>83</v>
      </c>
      <c r="U315" s="23" t="s">
        <v>83</v>
      </c>
      <c r="V315" s="25" t="s">
        <v>858</v>
      </c>
      <c r="W315" s="52" t="s">
        <v>862</v>
      </c>
      <c r="X315" s="52" t="s">
        <v>83</v>
      </c>
      <c r="Y315" s="53">
        <v>0</v>
      </c>
      <c r="Z315" s="53">
        <v>74.47</v>
      </c>
      <c r="AA315" s="5">
        <v>0</v>
      </c>
    </row>
    <row r="316" spans="12:27" x14ac:dyDescent="0.25">
      <c r="L316" s="28"/>
      <c r="M316" s="28"/>
      <c r="N316" s="68"/>
      <c r="O316" s="29"/>
      <c r="P316" s="29"/>
      <c r="Q316" s="29"/>
      <c r="R316" s="63"/>
      <c r="S316" s="59"/>
      <c r="T316" s="29"/>
      <c r="U316" s="29"/>
      <c r="V316" s="25" t="s">
        <v>863</v>
      </c>
      <c r="W316" s="52" t="s">
        <v>862</v>
      </c>
      <c r="X316" s="52" t="s">
        <v>83</v>
      </c>
      <c r="Y316" s="53">
        <v>0</v>
      </c>
      <c r="Z316" s="53">
        <v>4.17</v>
      </c>
      <c r="AA316" s="5">
        <v>0</v>
      </c>
    </row>
    <row r="317" spans="12:27" x14ac:dyDescent="0.25">
      <c r="L317" s="28"/>
      <c r="M317" s="28"/>
      <c r="N317" s="67">
        <v>45591</v>
      </c>
      <c r="O317" s="23" t="s">
        <v>111</v>
      </c>
      <c r="P317" s="23" t="s">
        <v>864</v>
      </c>
      <c r="Q317" s="23" t="s">
        <v>113</v>
      </c>
      <c r="R317" s="61" t="s">
        <v>114</v>
      </c>
      <c r="S317" s="58">
        <v>45593</v>
      </c>
      <c r="T317" s="23" t="s">
        <v>83</v>
      </c>
      <c r="U317" s="23" t="s">
        <v>83</v>
      </c>
      <c r="V317" s="25" t="s">
        <v>858</v>
      </c>
      <c r="W317" s="52" t="s">
        <v>865</v>
      </c>
      <c r="X317" s="52" t="s">
        <v>83</v>
      </c>
      <c r="Y317" s="53">
        <v>0</v>
      </c>
      <c r="Z317" s="53">
        <v>39.92</v>
      </c>
      <c r="AA317" s="5">
        <v>0</v>
      </c>
    </row>
    <row r="318" spans="12:27" x14ac:dyDescent="0.25">
      <c r="L318" s="28"/>
      <c r="M318" s="28"/>
      <c r="N318" s="69"/>
      <c r="O318" s="28"/>
      <c r="P318" s="29"/>
      <c r="Q318" s="29"/>
      <c r="R318" s="63"/>
      <c r="S318" s="59"/>
      <c r="T318" s="29"/>
      <c r="U318" s="29"/>
      <c r="V318" s="25" t="s">
        <v>866</v>
      </c>
      <c r="W318" s="52" t="s">
        <v>865</v>
      </c>
      <c r="X318" s="52" t="s">
        <v>83</v>
      </c>
      <c r="Y318" s="53">
        <v>0</v>
      </c>
      <c r="Z318" s="53">
        <v>2.2400000000000002</v>
      </c>
      <c r="AA318" s="5">
        <v>0</v>
      </c>
    </row>
    <row r="319" spans="12:27" x14ac:dyDescent="0.25">
      <c r="L319" s="28"/>
      <c r="M319" s="28"/>
      <c r="N319" s="69"/>
      <c r="O319" s="28"/>
      <c r="P319" s="25" t="s">
        <v>867</v>
      </c>
      <c r="Q319" s="25" t="s">
        <v>113</v>
      </c>
      <c r="R319" s="60" t="s">
        <v>114</v>
      </c>
      <c r="S319" s="24">
        <v>45593</v>
      </c>
      <c r="T319" s="25" t="s">
        <v>83</v>
      </c>
      <c r="U319" s="25" t="s">
        <v>83</v>
      </c>
      <c r="V319" s="25" t="s">
        <v>868</v>
      </c>
      <c r="W319" s="52" t="s">
        <v>869</v>
      </c>
      <c r="X319" s="52" t="s">
        <v>83</v>
      </c>
      <c r="Y319" s="53">
        <v>0</v>
      </c>
      <c r="Z319" s="53">
        <v>98</v>
      </c>
      <c r="AA319" s="5">
        <v>0</v>
      </c>
    </row>
    <row r="320" spans="12:27" x14ac:dyDescent="0.25">
      <c r="L320" s="28"/>
      <c r="M320" s="28"/>
      <c r="N320" s="69"/>
      <c r="O320" s="29"/>
      <c r="P320" s="25" t="s">
        <v>870</v>
      </c>
      <c r="Q320" s="25" t="s">
        <v>113</v>
      </c>
      <c r="R320" s="60" t="s">
        <v>114</v>
      </c>
      <c r="S320" s="24">
        <v>45593</v>
      </c>
      <c r="T320" s="25" t="s">
        <v>83</v>
      </c>
      <c r="U320" s="25" t="s">
        <v>83</v>
      </c>
      <c r="V320" s="25" t="s">
        <v>871</v>
      </c>
      <c r="W320" s="52" t="s">
        <v>872</v>
      </c>
      <c r="X320" s="52" t="s">
        <v>83</v>
      </c>
      <c r="Y320" s="53">
        <v>0</v>
      </c>
      <c r="Z320" s="53">
        <v>47.81</v>
      </c>
      <c r="AA320" s="5">
        <v>0</v>
      </c>
    </row>
    <row r="321" spans="12:27" x14ac:dyDescent="0.25">
      <c r="L321" s="28"/>
      <c r="M321" s="28"/>
      <c r="N321" s="69"/>
      <c r="O321" s="23" t="s">
        <v>154</v>
      </c>
      <c r="P321" s="25" t="s">
        <v>873</v>
      </c>
      <c r="Q321" s="25" t="s">
        <v>113</v>
      </c>
      <c r="R321" s="60" t="s">
        <v>114</v>
      </c>
      <c r="S321" s="24">
        <v>45593</v>
      </c>
      <c r="T321" s="25" t="s">
        <v>874</v>
      </c>
      <c r="U321" s="25" t="s">
        <v>83</v>
      </c>
      <c r="V321" s="25" t="s">
        <v>249</v>
      </c>
      <c r="W321" s="52" t="s">
        <v>875</v>
      </c>
      <c r="X321" s="52" t="s">
        <v>249</v>
      </c>
      <c r="Y321" s="53">
        <v>0</v>
      </c>
      <c r="Z321" s="53">
        <v>0</v>
      </c>
      <c r="AA321" s="5">
        <v>349.49</v>
      </c>
    </row>
    <row r="322" spans="12:27" x14ac:dyDescent="0.25">
      <c r="L322" s="28"/>
      <c r="M322" s="28"/>
      <c r="N322" s="68"/>
      <c r="O322" s="29"/>
      <c r="P322" s="25" t="s">
        <v>876</v>
      </c>
      <c r="Q322" s="25" t="s">
        <v>113</v>
      </c>
      <c r="R322" s="60" t="s">
        <v>114</v>
      </c>
      <c r="S322" s="24">
        <v>45593</v>
      </c>
      <c r="T322" s="25" t="s">
        <v>877</v>
      </c>
      <c r="U322" s="25" t="s">
        <v>83</v>
      </c>
      <c r="V322" s="25" t="s">
        <v>560</v>
      </c>
      <c r="W322" s="52" t="s">
        <v>878</v>
      </c>
      <c r="X322" s="52" t="s">
        <v>560</v>
      </c>
      <c r="Y322" s="53">
        <v>0</v>
      </c>
      <c r="Z322" s="53">
        <v>0</v>
      </c>
      <c r="AA322" s="5">
        <v>309.63</v>
      </c>
    </row>
    <row r="323" spans="12:27" x14ac:dyDescent="0.25">
      <c r="L323" s="28"/>
      <c r="M323" s="28"/>
      <c r="N323" s="24">
        <v>45596</v>
      </c>
      <c r="O323" s="25" t="s">
        <v>253</v>
      </c>
      <c r="P323" s="25" t="s">
        <v>879</v>
      </c>
      <c r="Q323" s="25" t="s">
        <v>113</v>
      </c>
      <c r="R323" s="60" t="s">
        <v>114</v>
      </c>
      <c r="S323" s="24">
        <v>45596</v>
      </c>
      <c r="T323" s="25" t="s">
        <v>877</v>
      </c>
      <c r="U323" s="25" t="s">
        <v>83</v>
      </c>
      <c r="V323" s="25" t="s">
        <v>560</v>
      </c>
      <c r="W323" s="52" t="s">
        <v>880</v>
      </c>
      <c r="X323" s="52" t="s">
        <v>560</v>
      </c>
      <c r="Y323" s="53">
        <v>0</v>
      </c>
      <c r="Z323" s="53">
        <v>306.8</v>
      </c>
      <c r="AA323" s="5">
        <v>-309.63</v>
      </c>
    </row>
    <row r="324" spans="12:27" x14ac:dyDescent="0.25">
      <c r="L324" s="28"/>
      <c r="M324" s="28"/>
      <c r="N324" s="67">
        <v>45600</v>
      </c>
      <c r="O324" s="23" t="s">
        <v>111</v>
      </c>
      <c r="P324" s="25" t="s">
        <v>881</v>
      </c>
      <c r="Q324" s="25" t="s">
        <v>113</v>
      </c>
      <c r="R324" s="60" t="s">
        <v>114</v>
      </c>
      <c r="S324" s="24">
        <v>45600</v>
      </c>
      <c r="T324" s="25" t="s">
        <v>83</v>
      </c>
      <c r="U324" s="25" t="s">
        <v>83</v>
      </c>
      <c r="V324" s="25" t="s">
        <v>882</v>
      </c>
      <c r="W324" s="52" t="s">
        <v>883</v>
      </c>
      <c r="X324" s="52" t="s">
        <v>83</v>
      </c>
      <c r="Y324" s="53">
        <v>0</v>
      </c>
      <c r="Z324" s="53">
        <v>-32.6</v>
      </c>
      <c r="AA324" s="5">
        <v>0</v>
      </c>
    </row>
    <row r="325" spans="12:27" x14ac:dyDescent="0.25">
      <c r="L325" s="28"/>
      <c r="M325" s="28"/>
      <c r="N325" s="69"/>
      <c r="O325" s="28"/>
      <c r="P325" s="25" t="s">
        <v>884</v>
      </c>
      <c r="Q325" s="25" t="s">
        <v>113</v>
      </c>
      <c r="R325" s="60" t="s">
        <v>114</v>
      </c>
      <c r="S325" s="24">
        <v>45600</v>
      </c>
      <c r="T325" s="25" t="s">
        <v>83</v>
      </c>
      <c r="U325" s="25" t="s">
        <v>83</v>
      </c>
      <c r="V325" s="25" t="s">
        <v>885</v>
      </c>
      <c r="W325" s="52" t="s">
        <v>886</v>
      </c>
      <c r="X325" s="52" t="s">
        <v>83</v>
      </c>
      <c r="Y325" s="53">
        <v>0</v>
      </c>
      <c r="Z325" s="53">
        <v>-15.21</v>
      </c>
      <c r="AA325" s="5">
        <v>0</v>
      </c>
    </row>
    <row r="326" spans="12:27" x14ac:dyDescent="0.25">
      <c r="L326" s="28"/>
      <c r="M326" s="28"/>
      <c r="N326" s="68"/>
      <c r="O326" s="29"/>
      <c r="P326" s="25" t="s">
        <v>887</v>
      </c>
      <c r="Q326" s="25" t="s">
        <v>113</v>
      </c>
      <c r="R326" s="60" t="s">
        <v>114</v>
      </c>
      <c r="S326" s="24">
        <v>45600</v>
      </c>
      <c r="T326" s="25" t="s">
        <v>83</v>
      </c>
      <c r="U326" s="25" t="s">
        <v>83</v>
      </c>
      <c r="V326" s="25" t="s">
        <v>888</v>
      </c>
      <c r="W326" s="52" t="s">
        <v>889</v>
      </c>
      <c r="X326" s="52" t="s">
        <v>83</v>
      </c>
      <c r="Y326" s="53">
        <v>0</v>
      </c>
      <c r="Z326" s="53">
        <v>43.47</v>
      </c>
      <c r="AA326" s="5">
        <v>0</v>
      </c>
    </row>
    <row r="327" spans="12:27" x14ac:dyDescent="0.25">
      <c r="L327" s="28"/>
      <c r="M327" s="28"/>
      <c r="N327" s="67">
        <v>45601</v>
      </c>
      <c r="O327" s="23" t="s">
        <v>111</v>
      </c>
      <c r="P327" s="25" t="s">
        <v>890</v>
      </c>
      <c r="Q327" s="25" t="s">
        <v>113</v>
      </c>
      <c r="R327" s="60" t="s">
        <v>114</v>
      </c>
      <c r="S327" s="24">
        <v>45601</v>
      </c>
      <c r="T327" s="25" t="s">
        <v>83</v>
      </c>
      <c r="U327" s="25" t="s">
        <v>83</v>
      </c>
      <c r="V327" s="25" t="s">
        <v>891</v>
      </c>
      <c r="W327" s="52" t="s">
        <v>892</v>
      </c>
      <c r="X327" s="52" t="s">
        <v>83</v>
      </c>
      <c r="Y327" s="53">
        <v>0</v>
      </c>
      <c r="Z327" s="53">
        <v>-16.579999999999998</v>
      </c>
      <c r="AA327" s="5">
        <v>0</v>
      </c>
    </row>
    <row r="328" spans="12:27" x14ac:dyDescent="0.25">
      <c r="L328" s="28"/>
      <c r="M328" s="28"/>
      <c r="N328" s="69"/>
      <c r="O328" s="28"/>
      <c r="P328" s="25" t="s">
        <v>893</v>
      </c>
      <c r="Q328" s="25" t="s">
        <v>113</v>
      </c>
      <c r="R328" s="60" t="s">
        <v>114</v>
      </c>
      <c r="S328" s="24">
        <v>45601</v>
      </c>
      <c r="T328" s="25" t="s">
        <v>83</v>
      </c>
      <c r="U328" s="25" t="s">
        <v>83</v>
      </c>
      <c r="V328" s="25" t="s">
        <v>891</v>
      </c>
      <c r="W328" s="52" t="s">
        <v>894</v>
      </c>
      <c r="X328" s="52" t="s">
        <v>83</v>
      </c>
      <c r="Y328" s="53">
        <v>0</v>
      </c>
      <c r="Z328" s="53">
        <v>-23.92</v>
      </c>
      <c r="AA328" s="5">
        <v>0</v>
      </c>
    </row>
    <row r="329" spans="12:27" x14ac:dyDescent="0.25">
      <c r="L329" s="28"/>
      <c r="M329" s="28"/>
      <c r="N329" s="69"/>
      <c r="O329" s="28"/>
      <c r="P329" s="25" t="s">
        <v>895</v>
      </c>
      <c r="Q329" s="25" t="s">
        <v>113</v>
      </c>
      <c r="R329" s="60" t="s">
        <v>114</v>
      </c>
      <c r="S329" s="24">
        <v>45601</v>
      </c>
      <c r="T329" s="25" t="s">
        <v>83</v>
      </c>
      <c r="U329" s="25" t="s">
        <v>83</v>
      </c>
      <c r="V329" s="25" t="s">
        <v>891</v>
      </c>
      <c r="W329" s="52" t="s">
        <v>896</v>
      </c>
      <c r="X329" s="52" t="s">
        <v>83</v>
      </c>
      <c r="Y329" s="53">
        <v>0</v>
      </c>
      <c r="Z329" s="53">
        <v>-24.85</v>
      </c>
      <c r="AA329" s="5">
        <v>0</v>
      </c>
    </row>
    <row r="330" spans="12:27" x14ac:dyDescent="0.25">
      <c r="L330" s="28"/>
      <c r="M330" s="28"/>
      <c r="N330" s="69"/>
      <c r="O330" s="29"/>
      <c r="P330" s="25" t="s">
        <v>897</v>
      </c>
      <c r="Q330" s="25" t="s">
        <v>113</v>
      </c>
      <c r="R330" s="60" t="s">
        <v>114</v>
      </c>
      <c r="S330" s="24">
        <v>45601</v>
      </c>
      <c r="T330" s="25" t="s">
        <v>83</v>
      </c>
      <c r="U330" s="25" t="s">
        <v>83</v>
      </c>
      <c r="V330" s="25" t="s">
        <v>891</v>
      </c>
      <c r="W330" s="52" t="s">
        <v>898</v>
      </c>
      <c r="X330" s="52" t="s">
        <v>83</v>
      </c>
      <c r="Y330" s="53">
        <v>0</v>
      </c>
      <c r="Z330" s="53">
        <v>-24.85</v>
      </c>
      <c r="AA330" s="5">
        <v>0</v>
      </c>
    </row>
    <row r="331" spans="12:27" x14ac:dyDescent="0.25">
      <c r="L331" s="28"/>
      <c r="M331" s="28"/>
      <c r="N331" s="68"/>
      <c r="O331" s="25" t="s">
        <v>154</v>
      </c>
      <c r="P331" s="25" t="s">
        <v>899</v>
      </c>
      <c r="Q331" s="25" t="s">
        <v>113</v>
      </c>
      <c r="R331" s="60" t="s">
        <v>114</v>
      </c>
      <c r="S331" s="24">
        <v>45601</v>
      </c>
      <c r="T331" s="25" t="s">
        <v>900</v>
      </c>
      <c r="U331" s="25" t="s">
        <v>83</v>
      </c>
      <c r="V331" s="25" t="s">
        <v>249</v>
      </c>
      <c r="W331" s="52" t="s">
        <v>901</v>
      </c>
      <c r="X331" s="52" t="s">
        <v>249</v>
      </c>
      <c r="Y331" s="53">
        <v>0</v>
      </c>
      <c r="Z331" s="53">
        <v>0</v>
      </c>
      <c r="AA331" s="5">
        <v>1065.05</v>
      </c>
    </row>
    <row r="332" spans="12:27" x14ac:dyDescent="0.25">
      <c r="L332" s="28"/>
      <c r="M332" s="28"/>
      <c r="N332" s="24">
        <v>45603</v>
      </c>
      <c r="O332" s="25" t="s">
        <v>154</v>
      </c>
      <c r="P332" s="25" t="s">
        <v>902</v>
      </c>
      <c r="Q332" s="25" t="s">
        <v>113</v>
      </c>
      <c r="R332" s="60" t="s">
        <v>114</v>
      </c>
      <c r="S332" s="24">
        <v>45603</v>
      </c>
      <c r="T332" s="25" t="s">
        <v>903</v>
      </c>
      <c r="U332" s="25" t="s">
        <v>83</v>
      </c>
      <c r="V332" s="25" t="s">
        <v>564</v>
      </c>
      <c r="W332" s="52" t="s">
        <v>904</v>
      </c>
      <c r="X332" s="52" t="s">
        <v>564</v>
      </c>
      <c r="Y332" s="53">
        <v>0</v>
      </c>
      <c r="Z332" s="53">
        <v>0</v>
      </c>
      <c r="AA332" s="5">
        <v>2488.4499999999998</v>
      </c>
    </row>
    <row r="333" spans="12:27" x14ac:dyDescent="0.25">
      <c r="L333" s="28"/>
      <c r="M333" s="28"/>
      <c r="N333" s="24">
        <v>45604</v>
      </c>
      <c r="O333" s="25" t="s">
        <v>253</v>
      </c>
      <c r="P333" s="25" t="s">
        <v>905</v>
      </c>
      <c r="Q333" s="25" t="s">
        <v>113</v>
      </c>
      <c r="R333" s="60" t="s">
        <v>114</v>
      </c>
      <c r="S333" s="24">
        <v>45604</v>
      </c>
      <c r="T333" s="25" t="s">
        <v>900</v>
      </c>
      <c r="U333" s="25" t="s">
        <v>83</v>
      </c>
      <c r="V333" s="25" t="s">
        <v>249</v>
      </c>
      <c r="W333" s="52" t="s">
        <v>906</v>
      </c>
      <c r="X333" s="52" t="s">
        <v>249</v>
      </c>
      <c r="Y333" s="53">
        <v>0</v>
      </c>
      <c r="Z333" s="53">
        <v>1061.1500000000001</v>
      </c>
      <c r="AA333" s="5">
        <v>-1065.05</v>
      </c>
    </row>
    <row r="334" spans="12:27" x14ac:dyDescent="0.25">
      <c r="L334" s="28"/>
      <c r="M334" s="28"/>
      <c r="N334" s="24">
        <v>45605</v>
      </c>
      <c r="O334" s="25" t="s">
        <v>159</v>
      </c>
      <c r="P334" s="25" t="s">
        <v>907</v>
      </c>
      <c r="Q334" s="25" t="s">
        <v>113</v>
      </c>
      <c r="R334" s="60" t="s">
        <v>114</v>
      </c>
      <c r="S334" s="24">
        <v>45608</v>
      </c>
      <c r="T334" s="25" t="s">
        <v>903</v>
      </c>
      <c r="U334" s="25" t="s">
        <v>83</v>
      </c>
      <c r="V334" s="25" t="s">
        <v>564</v>
      </c>
      <c r="W334" s="52" t="s">
        <v>908</v>
      </c>
      <c r="X334" s="52" t="s">
        <v>564</v>
      </c>
      <c r="Y334" s="53">
        <v>0</v>
      </c>
      <c r="Z334" s="53">
        <v>1371.38</v>
      </c>
      <c r="AA334" s="5">
        <v>-1269.0999999999999</v>
      </c>
    </row>
    <row r="335" spans="12:27" x14ac:dyDescent="0.25">
      <c r="L335" s="28"/>
      <c r="M335" s="28"/>
      <c r="N335" s="67">
        <v>45608</v>
      </c>
      <c r="O335" s="23" t="s">
        <v>154</v>
      </c>
      <c r="P335" s="25" t="s">
        <v>909</v>
      </c>
      <c r="Q335" s="25" t="s">
        <v>113</v>
      </c>
      <c r="R335" s="60" t="s">
        <v>114</v>
      </c>
      <c r="S335" s="24">
        <v>45608</v>
      </c>
      <c r="T335" s="25" t="s">
        <v>910</v>
      </c>
      <c r="U335" s="25" t="s">
        <v>83</v>
      </c>
      <c r="V335" s="25" t="s">
        <v>560</v>
      </c>
      <c r="W335" s="52" t="s">
        <v>911</v>
      </c>
      <c r="X335" s="52" t="s">
        <v>560</v>
      </c>
      <c r="Y335" s="53">
        <v>0</v>
      </c>
      <c r="Z335" s="53">
        <v>0</v>
      </c>
      <c r="AA335" s="5">
        <v>220.52</v>
      </c>
    </row>
    <row r="336" spans="12:27" x14ac:dyDescent="0.25">
      <c r="L336" s="28"/>
      <c r="M336" s="28"/>
      <c r="N336" s="69"/>
      <c r="O336" s="28"/>
      <c r="P336" s="25" t="s">
        <v>912</v>
      </c>
      <c r="Q336" s="25" t="s">
        <v>113</v>
      </c>
      <c r="R336" s="60" t="s">
        <v>114</v>
      </c>
      <c r="S336" s="24">
        <v>45608</v>
      </c>
      <c r="T336" s="25" t="s">
        <v>913</v>
      </c>
      <c r="U336" s="25" t="s">
        <v>83</v>
      </c>
      <c r="V336" s="25" t="s">
        <v>572</v>
      </c>
      <c r="W336" s="52" t="s">
        <v>914</v>
      </c>
      <c r="X336" s="52" t="s">
        <v>572</v>
      </c>
      <c r="Y336" s="53">
        <v>0</v>
      </c>
      <c r="Z336" s="53">
        <v>0</v>
      </c>
      <c r="AA336" s="5">
        <v>416.78</v>
      </c>
    </row>
    <row r="337" spans="12:27" x14ac:dyDescent="0.25">
      <c r="L337" s="28"/>
      <c r="M337" s="28"/>
      <c r="N337" s="69"/>
      <c r="O337" s="28"/>
      <c r="P337" s="25" t="s">
        <v>915</v>
      </c>
      <c r="Q337" s="25" t="s">
        <v>113</v>
      </c>
      <c r="R337" s="60" t="s">
        <v>114</v>
      </c>
      <c r="S337" s="24">
        <v>45608</v>
      </c>
      <c r="T337" s="25" t="s">
        <v>916</v>
      </c>
      <c r="U337" s="25" t="s">
        <v>83</v>
      </c>
      <c r="V337" s="25" t="s">
        <v>572</v>
      </c>
      <c r="W337" s="52" t="s">
        <v>917</v>
      </c>
      <c r="X337" s="52" t="s">
        <v>572</v>
      </c>
      <c r="Y337" s="53">
        <v>0</v>
      </c>
      <c r="Z337" s="53">
        <v>0</v>
      </c>
      <c r="AA337" s="5">
        <v>485.9</v>
      </c>
    </row>
    <row r="338" spans="12:27" x14ac:dyDescent="0.25">
      <c r="L338" s="28"/>
      <c r="M338" s="28"/>
      <c r="N338" s="69"/>
      <c r="O338" s="28"/>
      <c r="P338" s="25" t="s">
        <v>918</v>
      </c>
      <c r="Q338" s="25" t="s">
        <v>113</v>
      </c>
      <c r="R338" s="60" t="s">
        <v>114</v>
      </c>
      <c r="S338" s="24">
        <v>45608</v>
      </c>
      <c r="T338" s="25" t="s">
        <v>919</v>
      </c>
      <c r="U338" s="25" t="s">
        <v>83</v>
      </c>
      <c r="V338" s="25" t="s">
        <v>564</v>
      </c>
      <c r="W338" s="52" t="s">
        <v>920</v>
      </c>
      <c r="X338" s="52" t="s">
        <v>564</v>
      </c>
      <c r="Y338" s="53">
        <v>0</v>
      </c>
      <c r="Z338" s="53">
        <v>0</v>
      </c>
      <c r="AA338" s="5">
        <v>150.56</v>
      </c>
    </row>
    <row r="339" spans="12:27" x14ac:dyDescent="0.25">
      <c r="L339" s="28"/>
      <c r="M339" s="28"/>
      <c r="N339" s="68"/>
      <c r="O339" s="29"/>
      <c r="P339" s="25" t="s">
        <v>921</v>
      </c>
      <c r="Q339" s="25" t="s">
        <v>113</v>
      </c>
      <c r="R339" s="60" t="s">
        <v>114</v>
      </c>
      <c r="S339" s="24">
        <v>45608</v>
      </c>
      <c r="T339" s="25" t="s">
        <v>922</v>
      </c>
      <c r="U339" s="25" t="s">
        <v>83</v>
      </c>
      <c r="V339" s="25" t="s">
        <v>572</v>
      </c>
      <c r="W339" s="52" t="s">
        <v>923</v>
      </c>
      <c r="X339" s="52" t="s">
        <v>572</v>
      </c>
      <c r="Y339" s="53">
        <v>0</v>
      </c>
      <c r="Z339" s="53">
        <v>0</v>
      </c>
      <c r="AA339" s="5">
        <v>949.86</v>
      </c>
    </row>
    <row r="340" spans="12:27" x14ac:dyDescent="0.25">
      <c r="L340" s="28"/>
      <c r="M340" s="28"/>
      <c r="N340" s="67">
        <v>45609</v>
      </c>
      <c r="O340" s="25" t="s">
        <v>154</v>
      </c>
      <c r="P340" s="25" t="s">
        <v>924</v>
      </c>
      <c r="Q340" s="25" t="s">
        <v>113</v>
      </c>
      <c r="R340" s="60" t="s">
        <v>114</v>
      </c>
      <c r="S340" s="24">
        <v>45609</v>
      </c>
      <c r="T340" s="25" t="s">
        <v>925</v>
      </c>
      <c r="U340" s="25" t="s">
        <v>83</v>
      </c>
      <c r="V340" s="25" t="s">
        <v>926</v>
      </c>
      <c r="W340" s="52" t="s">
        <v>927</v>
      </c>
      <c r="X340" s="52" t="s">
        <v>926</v>
      </c>
      <c r="Y340" s="53">
        <v>0</v>
      </c>
      <c r="Z340" s="53">
        <v>0</v>
      </c>
      <c r="AA340" s="5">
        <v>831.28</v>
      </c>
    </row>
    <row r="341" spans="12:27" x14ac:dyDescent="0.25">
      <c r="L341" s="28"/>
      <c r="M341" s="28"/>
      <c r="N341" s="69"/>
      <c r="O341" s="25" t="s">
        <v>159</v>
      </c>
      <c r="P341" s="25" t="s">
        <v>928</v>
      </c>
      <c r="Q341" s="25" t="s">
        <v>113</v>
      </c>
      <c r="R341" s="60" t="s">
        <v>114</v>
      </c>
      <c r="S341" s="24">
        <v>45609</v>
      </c>
      <c r="T341" s="25" t="s">
        <v>903</v>
      </c>
      <c r="U341" s="25" t="s">
        <v>83</v>
      </c>
      <c r="V341" s="25" t="s">
        <v>564</v>
      </c>
      <c r="W341" s="52" t="s">
        <v>929</v>
      </c>
      <c r="X341" s="52" t="s">
        <v>564</v>
      </c>
      <c r="Y341" s="53">
        <v>0</v>
      </c>
      <c r="Z341" s="53">
        <v>612.89</v>
      </c>
      <c r="AA341" s="5">
        <v>-630.21</v>
      </c>
    </row>
    <row r="342" spans="12:27" x14ac:dyDescent="0.25">
      <c r="L342" s="28"/>
      <c r="M342" s="28"/>
      <c r="N342" s="68"/>
      <c r="O342" s="25" t="s">
        <v>253</v>
      </c>
      <c r="P342" s="25" t="s">
        <v>930</v>
      </c>
      <c r="Q342" s="25" t="s">
        <v>113</v>
      </c>
      <c r="R342" s="60" t="s">
        <v>114</v>
      </c>
      <c r="S342" s="24">
        <v>45609</v>
      </c>
      <c r="T342" s="25" t="s">
        <v>874</v>
      </c>
      <c r="U342" s="25" t="s">
        <v>83</v>
      </c>
      <c r="V342" s="25" t="s">
        <v>249</v>
      </c>
      <c r="W342" s="52" t="s">
        <v>931</v>
      </c>
      <c r="X342" s="52" t="s">
        <v>249</v>
      </c>
      <c r="Y342" s="53">
        <v>0</v>
      </c>
      <c r="Z342" s="53">
        <v>348.21</v>
      </c>
      <c r="AA342" s="5">
        <v>-349.49</v>
      </c>
    </row>
    <row r="343" spans="12:27" x14ac:dyDescent="0.25">
      <c r="L343" s="28"/>
      <c r="M343" s="28"/>
      <c r="N343" s="67">
        <v>45610</v>
      </c>
      <c r="O343" s="25" t="s">
        <v>154</v>
      </c>
      <c r="P343" s="25" t="s">
        <v>932</v>
      </c>
      <c r="Q343" s="25" t="s">
        <v>113</v>
      </c>
      <c r="R343" s="60" t="s">
        <v>114</v>
      </c>
      <c r="S343" s="24">
        <v>45610</v>
      </c>
      <c r="T343" s="25" t="s">
        <v>933</v>
      </c>
      <c r="U343" s="25" t="s">
        <v>83</v>
      </c>
      <c r="V343" s="25" t="s">
        <v>572</v>
      </c>
      <c r="W343" s="52" t="s">
        <v>934</v>
      </c>
      <c r="X343" s="52" t="s">
        <v>572</v>
      </c>
      <c r="Y343" s="53">
        <v>0</v>
      </c>
      <c r="Z343" s="53">
        <v>0</v>
      </c>
      <c r="AA343" s="5">
        <v>318.95999999999998</v>
      </c>
    </row>
    <row r="344" spans="12:27" x14ac:dyDescent="0.25">
      <c r="L344" s="28"/>
      <c r="M344" s="28"/>
      <c r="N344" s="69"/>
      <c r="O344" s="23" t="s">
        <v>159</v>
      </c>
      <c r="P344" s="25" t="s">
        <v>935</v>
      </c>
      <c r="Q344" s="25" t="s">
        <v>113</v>
      </c>
      <c r="R344" s="60" t="s">
        <v>114</v>
      </c>
      <c r="S344" s="24">
        <v>45610</v>
      </c>
      <c r="T344" s="25" t="s">
        <v>919</v>
      </c>
      <c r="U344" s="25" t="s">
        <v>83</v>
      </c>
      <c r="V344" s="25" t="s">
        <v>564</v>
      </c>
      <c r="W344" s="52" t="s">
        <v>936</v>
      </c>
      <c r="X344" s="52" t="s">
        <v>564</v>
      </c>
      <c r="Y344" s="53">
        <v>0</v>
      </c>
      <c r="Z344" s="53">
        <v>202.42</v>
      </c>
      <c r="AA344" s="5">
        <v>-150.56</v>
      </c>
    </row>
    <row r="345" spans="12:27" x14ac:dyDescent="0.25">
      <c r="L345" s="28"/>
      <c r="M345" s="28"/>
      <c r="N345" s="68"/>
      <c r="O345" s="29"/>
      <c r="P345" s="25" t="s">
        <v>937</v>
      </c>
      <c r="Q345" s="25" t="s">
        <v>113</v>
      </c>
      <c r="R345" s="60" t="s">
        <v>114</v>
      </c>
      <c r="S345" s="24">
        <v>45610</v>
      </c>
      <c r="T345" s="25" t="s">
        <v>903</v>
      </c>
      <c r="U345" s="25" t="s">
        <v>83</v>
      </c>
      <c r="V345" s="25" t="s">
        <v>564</v>
      </c>
      <c r="W345" s="52" t="s">
        <v>938</v>
      </c>
      <c r="X345" s="52" t="s">
        <v>564</v>
      </c>
      <c r="Y345" s="53">
        <v>0</v>
      </c>
      <c r="Z345" s="53">
        <v>572.94000000000005</v>
      </c>
      <c r="AA345" s="5">
        <v>-589.14</v>
      </c>
    </row>
    <row r="346" spans="12:27" x14ac:dyDescent="0.25">
      <c r="L346" s="28"/>
      <c r="M346" s="28"/>
      <c r="N346" s="67">
        <v>45611</v>
      </c>
      <c r="O346" s="23" t="s">
        <v>253</v>
      </c>
      <c r="P346" s="25" t="s">
        <v>939</v>
      </c>
      <c r="Q346" s="25" t="s">
        <v>113</v>
      </c>
      <c r="R346" s="60" t="s">
        <v>114</v>
      </c>
      <c r="S346" s="24">
        <v>45611</v>
      </c>
      <c r="T346" s="25" t="s">
        <v>925</v>
      </c>
      <c r="U346" s="25" t="s">
        <v>83</v>
      </c>
      <c r="V346" s="25" t="s">
        <v>926</v>
      </c>
      <c r="W346" s="52" t="s">
        <v>940</v>
      </c>
      <c r="X346" s="52" t="s">
        <v>926</v>
      </c>
      <c r="Y346" s="53">
        <v>0</v>
      </c>
      <c r="Z346" s="53">
        <v>400.59</v>
      </c>
      <c r="AA346" s="5">
        <v>-401.73</v>
      </c>
    </row>
    <row r="347" spans="12:27" x14ac:dyDescent="0.25">
      <c r="L347" s="28"/>
      <c r="M347" s="28"/>
      <c r="N347" s="68"/>
      <c r="O347" s="29"/>
      <c r="P347" s="25" t="s">
        <v>941</v>
      </c>
      <c r="Q347" s="25" t="s">
        <v>113</v>
      </c>
      <c r="R347" s="60" t="s">
        <v>114</v>
      </c>
      <c r="S347" s="24">
        <v>45611</v>
      </c>
      <c r="T347" s="25" t="s">
        <v>925</v>
      </c>
      <c r="U347" s="25" t="s">
        <v>83</v>
      </c>
      <c r="V347" s="25" t="s">
        <v>926</v>
      </c>
      <c r="W347" s="52" t="s">
        <v>942</v>
      </c>
      <c r="X347" s="52" t="s">
        <v>926</v>
      </c>
      <c r="Y347" s="53">
        <v>0</v>
      </c>
      <c r="Z347" s="53">
        <v>10.44</v>
      </c>
      <c r="AA347" s="5">
        <v>-10.48</v>
      </c>
    </row>
    <row r="348" spans="12:27" x14ac:dyDescent="0.25">
      <c r="L348" s="28"/>
      <c r="M348" s="28"/>
      <c r="N348" s="24">
        <v>45615</v>
      </c>
      <c r="O348" s="25" t="s">
        <v>253</v>
      </c>
      <c r="P348" s="25" t="s">
        <v>943</v>
      </c>
      <c r="Q348" s="25" t="s">
        <v>113</v>
      </c>
      <c r="R348" s="60" t="s">
        <v>114</v>
      </c>
      <c r="S348" s="24">
        <v>45615</v>
      </c>
      <c r="T348" s="25" t="s">
        <v>925</v>
      </c>
      <c r="U348" s="25" t="s">
        <v>83</v>
      </c>
      <c r="V348" s="25" t="s">
        <v>926</v>
      </c>
      <c r="W348" s="52" t="s">
        <v>944</v>
      </c>
      <c r="X348" s="52" t="s">
        <v>926</v>
      </c>
      <c r="Y348" s="53">
        <v>0</v>
      </c>
      <c r="Z348" s="53">
        <v>417.92</v>
      </c>
      <c r="AA348" s="5">
        <v>-419.07</v>
      </c>
    </row>
    <row r="349" spans="12:27" x14ac:dyDescent="0.25">
      <c r="L349" s="28"/>
      <c r="M349" s="28"/>
      <c r="N349" s="67">
        <v>45616</v>
      </c>
      <c r="O349" s="23" t="s">
        <v>253</v>
      </c>
      <c r="P349" s="25" t="s">
        <v>945</v>
      </c>
      <c r="Q349" s="25" t="s">
        <v>113</v>
      </c>
      <c r="R349" s="60" t="s">
        <v>114</v>
      </c>
      <c r="S349" s="24">
        <v>45616</v>
      </c>
      <c r="T349" s="25" t="s">
        <v>913</v>
      </c>
      <c r="U349" s="25" t="s">
        <v>946</v>
      </c>
      <c r="V349" s="25" t="s">
        <v>572</v>
      </c>
      <c r="W349" s="52" t="s">
        <v>947</v>
      </c>
      <c r="X349" s="52" t="s">
        <v>572</v>
      </c>
      <c r="Y349" s="53">
        <v>0</v>
      </c>
      <c r="Z349" s="53">
        <v>179.23</v>
      </c>
      <c r="AA349" s="5">
        <v>-142.93</v>
      </c>
    </row>
    <row r="350" spans="12:27" x14ac:dyDescent="0.25">
      <c r="L350" s="28"/>
      <c r="M350" s="28"/>
      <c r="N350" s="69"/>
      <c r="O350" s="28"/>
      <c r="P350" s="25" t="s">
        <v>948</v>
      </c>
      <c r="Q350" s="25" t="s">
        <v>113</v>
      </c>
      <c r="R350" s="60" t="s">
        <v>114</v>
      </c>
      <c r="S350" s="24">
        <v>45616</v>
      </c>
      <c r="T350" s="25" t="s">
        <v>916</v>
      </c>
      <c r="U350" s="25" t="s">
        <v>949</v>
      </c>
      <c r="V350" s="25" t="s">
        <v>572</v>
      </c>
      <c r="W350" s="52" t="s">
        <v>950</v>
      </c>
      <c r="X350" s="52" t="s">
        <v>572</v>
      </c>
      <c r="Y350" s="53">
        <v>0</v>
      </c>
      <c r="Z350" s="53">
        <v>152.86000000000001</v>
      </c>
      <c r="AA350" s="5">
        <v>-150.56</v>
      </c>
    </row>
    <row r="351" spans="12:27" x14ac:dyDescent="0.25">
      <c r="L351" s="28"/>
      <c r="M351" s="28"/>
      <c r="N351" s="69"/>
      <c r="O351" s="28"/>
      <c r="P351" s="25" t="s">
        <v>951</v>
      </c>
      <c r="Q351" s="25" t="s">
        <v>113</v>
      </c>
      <c r="R351" s="60" t="s">
        <v>114</v>
      </c>
      <c r="S351" s="24">
        <v>45616</v>
      </c>
      <c r="T351" s="25" t="s">
        <v>922</v>
      </c>
      <c r="U351" s="25" t="s">
        <v>952</v>
      </c>
      <c r="V351" s="25" t="s">
        <v>572</v>
      </c>
      <c r="W351" s="52" t="s">
        <v>953</v>
      </c>
      <c r="X351" s="52" t="s">
        <v>572</v>
      </c>
      <c r="Y351" s="53">
        <v>0</v>
      </c>
      <c r="Z351" s="53">
        <v>781.19</v>
      </c>
      <c r="AA351" s="5">
        <v>-787.4</v>
      </c>
    </row>
    <row r="352" spans="12:27" x14ac:dyDescent="0.25">
      <c r="L352" s="28"/>
      <c r="M352" s="28"/>
      <c r="N352" s="68"/>
      <c r="O352" s="29"/>
      <c r="P352" s="25" t="s">
        <v>954</v>
      </c>
      <c r="Q352" s="25" t="s">
        <v>113</v>
      </c>
      <c r="R352" s="60" t="s">
        <v>114</v>
      </c>
      <c r="S352" s="24">
        <v>45616</v>
      </c>
      <c r="T352" s="25" t="s">
        <v>922</v>
      </c>
      <c r="U352" s="25" t="s">
        <v>955</v>
      </c>
      <c r="V352" s="25" t="s">
        <v>572</v>
      </c>
      <c r="W352" s="52" t="s">
        <v>956</v>
      </c>
      <c r="X352" s="52" t="s">
        <v>572</v>
      </c>
      <c r="Y352" s="53">
        <v>0</v>
      </c>
      <c r="Z352" s="53">
        <v>49.8</v>
      </c>
      <c r="AA352" s="5">
        <v>-50.19</v>
      </c>
    </row>
    <row r="353" spans="12:27" x14ac:dyDescent="0.25">
      <c r="L353" s="28"/>
      <c r="M353" s="28"/>
      <c r="N353" s="67">
        <v>45617</v>
      </c>
      <c r="O353" s="23" t="s">
        <v>253</v>
      </c>
      <c r="P353" s="25" t="s">
        <v>957</v>
      </c>
      <c r="Q353" s="25" t="s">
        <v>113</v>
      </c>
      <c r="R353" s="60" t="s">
        <v>114</v>
      </c>
      <c r="S353" s="24">
        <v>45617</v>
      </c>
      <c r="T353" s="25" t="s">
        <v>913</v>
      </c>
      <c r="U353" s="25" t="s">
        <v>958</v>
      </c>
      <c r="V353" s="25" t="s">
        <v>572</v>
      </c>
      <c r="W353" s="52" t="s">
        <v>959</v>
      </c>
      <c r="X353" s="52" t="s">
        <v>572</v>
      </c>
      <c r="Y353" s="53">
        <v>0</v>
      </c>
      <c r="Z353" s="53">
        <v>280.17</v>
      </c>
      <c r="AA353" s="5">
        <v>-273.85000000000002</v>
      </c>
    </row>
    <row r="354" spans="12:27" x14ac:dyDescent="0.25">
      <c r="L354" s="28"/>
      <c r="M354" s="28"/>
      <c r="N354" s="68"/>
      <c r="O354" s="29"/>
      <c r="P354" s="25" t="s">
        <v>960</v>
      </c>
      <c r="Q354" s="25" t="s">
        <v>113</v>
      </c>
      <c r="R354" s="60" t="s">
        <v>114</v>
      </c>
      <c r="S354" s="24">
        <v>45617</v>
      </c>
      <c r="T354" s="25" t="s">
        <v>916</v>
      </c>
      <c r="U354" s="25" t="s">
        <v>83</v>
      </c>
      <c r="V354" s="25" t="s">
        <v>572</v>
      </c>
      <c r="W354" s="52" t="s">
        <v>961</v>
      </c>
      <c r="X354" s="52" t="s">
        <v>572</v>
      </c>
      <c r="Y354" s="53">
        <v>0</v>
      </c>
      <c r="Z354" s="53">
        <v>340.46</v>
      </c>
      <c r="AA354" s="5">
        <v>-335.34</v>
      </c>
    </row>
    <row r="355" spans="12:27" x14ac:dyDescent="0.25">
      <c r="L355" s="28"/>
      <c r="M355" s="28"/>
      <c r="N355" s="67">
        <v>45618</v>
      </c>
      <c r="O355" s="23" t="s">
        <v>111</v>
      </c>
      <c r="P355" s="23" t="s">
        <v>962</v>
      </c>
      <c r="Q355" s="23" t="s">
        <v>113</v>
      </c>
      <c r="R355" s="61" t="s">
        <v>114</v>
      </c>
      <c r="S355" s="58">
        <v>45618</v>
      </c>
      <c r="T355" s="23" t="s">
        <v>83</v>
      </c>
      <c r="U355" s="23" t="s">
        <v>83</v>
      </c>
      <c r="V355" s="25" t="s">
        <v>963</v>
      </c>
      <c r="W355" s="52" t="s">
        <v>964</v>
      </c>
      <c r="X355" s="52" t="s">
        <v>83</v>
      </c>
      <c r="Y355" s="53">
        <v>0</v>
      </c>
      <c r="Z355" s="53">
        <v>145</v>
      </c>
      <c r="AA355" s="5">
        <v>0</v>
      </c>
    </row>
    <row r="356" spans="12:27" x14ac:dyDescent="0.25">
      <c r="L356" s="28"/>
      <c r="M356" s="28"/>
      <c r="N356" s="69"/>
      <c r="O356" s="28"/>
      <c r="P356" s="29"/>
      <c r="Q356" s="29"/>
      <c r="R356" s="63"/>
      <c r="S356" s="59"/>
      <c r="T356" s="29"/>
      <c r="U356" s="29"/>
      <c r="V356" s="25" t="s">
        <v>965</v>
      </c>
      <c r="W356" s="52" t="s">
        <v>964</v>
      </c>
      <c r="X356" s="52" t="s">
        <v>83</v>
      </c>
      <c r="Y356" s="53">
        <v>0</v>
      </c>
      <c r="Z356" s="53">
        <v>8.1199999999999992</v>
      </c>
      <c r="AA356" s="5">
        <v>0</v>
      </c>
    </row>
    <row r="357" spans="12:27" x14ac:dyDescent="0.25">
      <c r="L357" s="28"/>
      <c r="M357" s="28"/>
      <c r="N357" s="69"/>
      <c r="O357" s="29"/>
      <c r="P357" s="25" t="s">
        <v>966</v>
      </c>
      <c r="Q357" s="25" t="s">
        <v>113</v>
      </c>
      <c r="R357" s="60" t="s">
        <v>114</v>
      </c>
      <c r="S357" s="24">
        <v>45618</v>
      </c>
      <c r="T357" s="25" t="s">
        <v>83</v>
      </c>
      <c r="U357" s="25" t="s">
        <v>83</v>
      </c>
      <c r="V357" s="25" t="s">
        <v>967</v>
      </c>
      <c r="W357" s="52" t="s">
        <v>968</v>
      </c>
      <c r="X357" s="52" t="s">
        <v>83</v>
      </c>
      <c r="Y357" s="53">
        <v>0</v>
      </c>
      <c r="Z357" s="53">
        <v>1958</v>
      </c>
      <c r="AA357" s="5">
        <v>0</v>
      </c>
    </row>
    <row r="358" spans="12:27" x14ac:dyDescent="0.25">
      <c r="L358" s="28"/>
      <c r="M358" s="28"/>
      <c r="N358" s="69"/>
      <c r="O358" s="23" t="s">
        <v>154</v>
      </c>
      <c r="P358" s="25" t="s">
        <v>969</v>
      </c>
      <c r="Q358" s="25" t="s">
        <v>113</v>
      </c>
      <c r="R358" s="60" t="s">
        <v>114</v>
      </c>
      <c r="S358" s="24">
        <v>45618</v>
      </c>
      <c r="T358" s="25" t="s">
        <v>970</v>
      </c>
      <c r="U358" s="25" t="s">
        <v>83</v>
      </c>
      <c r="V358" s="25" t="s">
        <v>249</v>
      </c>
      <c r="W358" s="52" t="s">
        <v>971</v>
      </c>
      <c r="X358" s="52" t="s">
        <v>249</v>
      </c>
      <c r="Y358" s="53">
        <v>0</v>
      </c>
      <c r="Z358" s="53">
        <v>0</v>
      </c>
      <c r="AA358" s="5">
        <v>360.03</v>
      </c>
    </row>
    <row r="359" spans="12:27" x14ac:dyDescent="0.25">
      <c r="L359" s="28"/>
      <c r="M359" s="28"/>
      <c r="N359" s="68"/>
      <c r="O359" s="29"/>
      <c r="P359" s="25" t="s">
        <v>972</v>
      </c>
      <c r="Q359" s="25" t="s">
        <v>113</v>
      </c>
      <c r="R359" s="60" t="s">
        <v>114</v>
      </c>
      <c r="S359" s="24">
        <v>45618</v>
      </c>
      <c r="T359" s="25" t="s">
        <v>973</v>
      </c>
      <c r="U359" s="25" t="s">
        <v>83</v>
      </c>
      <c r="V359" s="25" t="s">
        <v>249</v>
      </c>
      <c r="W359" s="52" t="s">
        <v>974</v>
      </c>
      <c r="X359" s="52" t="s">
        <v>249</v>
      </c>
      <c r="Y359" s="53">
        <v>0</v>
      </c>
      <c r="Z359" s="53">
        <v>0</v>
      </c>
      <c r="AA359" s="5">
        <v>87.38</v>
      </c>
    </row>
    <row r="360" spans="12:27" x14ac:dyDescent="0.25">
      <c r="L360" s="28"/>
      <c r="M360" s="28"/>
      <c r="N360" s="24">
        <v>45620</v>
      </c>
      <c r="O360" s="25" t="s">
        <v>154</v>
      </c>
      <c r="P360" s="25" t="s">
        <v>975</v>
      </c>
      <c r="Q360" s="25" t="s">
        <v>113</v>
      </c>
      <c r="R360" s="60" t="s">
        <v>114</v>
      </c>
      <c r="S360" s="24">
        <v>45621</v>
      </c>
      <c r="T360" s="25" t="s">
        <v>976</v>
      </c>
      <c r="U360" s="25" t="s">
        <v>83</v>
      </c>
      <c r="V360" s="25" t="s">
        <v>572</v>
      </c>
      <c r="W360" s="52" t="s">
        <v>977</v>
      </c>
      <c r="X360" s="52" t="s">
        <v>572</v>
      </c>
      <c r="Y360" s="53">
        <v>0</v>
      </c>
      <c r="Z360" s="53">
        <v>0</v>
      </c>
      <c r="AA360" s="5">
        <v>1022.15</v>
      </c>
    </row>
    <row r="361" spans="12:27" x14ac:dyDescent="0.25">
      <c r="L361" s="28"/>
      <c r="M361" s="28"/>
      <c r="N361" s="67">
        <v>45622</v>
      </c>
      <c r="O361" s="23" t="s">
        <v>253</v>
      </c>
      <c r="P361" s="25" t="s">
        <v>978</v>
      </c>
      <c r="Q361" s="25" t="s">
        <v>113</v>
      </c>
      <c r="R361" s="60" t="s">
        <v>114</v>
      </c>
      <c r="S361" s="24">
        <v>45622</v>
      </c>
      <c r="T361" s="25" t="s">
        <v>571</v>
      </c>
      <c r="U361" s="25" t="s">
        <v>979</v>
      </c>
      <c r="V361" s="25" t="s">
        <v>572</v>
      </c>
      <c r="W361" s="52" t="s">
        <v>980</v>
      </c>
      <c r="X361" s="52" t="s">
        <v>572</v>
      </c>
      <c r="Y361" s="53">
        <v>0</v>
      </c>
      <c r="Z361" s="53">
        <v>378.7</v>
      </c>
      <c r="AA361" s="5">
        <v>-389.49</v>
      </c>
    </row>
    <row r="362" spans="12:27" x14ac:dyDescent="0.25">
      <c r="L362" s="28"/>
      <c r="M362" s="28"/>
      <c r="N362" s="68"/>
      <c r="O362" s="29"/>
      <c r="P362" s="25" t="s">
        <v>981</v>
      </c>
      <c r="Q362" s="25" t="s">
        <v>113</v>
      </c>
      <c r="R362" s="60" t="s">
        <v>114</v>
      </c>
      <c r="S362" s="24">
        <v>45622</v>
      </c>
      <c r="T362" s="25" t="s">
        <v>922</v>
      </c>
      <c r="U362" s="25" t="s">
        <v>982</v>
      </c>
      <c r="V362" s="25" t="s">
        <v>572</v>
      </c>
      <c r="W362" s="52" t="s">
        <v>983</v>
      </c>
      <c r="X362" s="52" t="s">
        <v>572</v>
      </c>
      <c r="Y362" s="53">
        <v>0</v>
      </c>
      <c r="Z362" s="53">
        <v>51.85</v>
      </c>
      <c r="AA362" s="5">
        <v>-52.26</v>
      </c>
    </row>
    <row r="363" spans="12:27" x14ac:dyDescent="0.25">
      <c r="L363" s="28"/>
      <c r="M363" s="28"/>
      <c r="N363" s="67">
        <v>45623</v>
      </c>
      <c r="O363" s="23" t="s">
        <v>253</v>
      </c>
      <c r="P363" s="25" t="s">
        <v>984</v>
      </c>
      <c r="Q363" s="25" t="s">
        <v>113</v>
      </c>
      <c r="R363" s="60" t="s">
        <v>114</v>
      </c>
      <c r="S363" s="24">
        <v>45623</v>
      </c>
      <c r="T363" s="25" t="s">
        <v>970</v>
      </c>
      <c r="U363" s="25" t="s">
        <v>83</v>
      </c>
      <c r="V363" s="25" t="s">
        <v>249</v>
      </c>
      <c r="W363" s="52" t="s">
        <v>985</v>
      </c>
      <c r="X363" s="52" t="s">
        <v>249</v>
      </c>
      <c r="Y363" s="53">
        <v>0</v>
      </c>
      <c r="Z363" s="53">
        <v>358.71</v>
      </c>
      <c r="AA363" s="5">
        <v>-360.03</v>
      </c>
    </row>
    <row r="364" spans="12:27" x14ac:dyDescent="0.25">
      <c r="L364" s="28"/>
      <c r="M364" s="28"/>
      <c r="N364" s="68"/>
      <c r="O364" s="29"/>
      <c r="P364" s="25" t="s">
        <v>986</v>
      </c>
      <c r="Q364" s="25" t="s">
        <v>113</v>
      </c>
      <c r="R364" s="60" t="s">
        <v>114</v>
      </c>
      <c r="S364" s="24">
        <v>45623</v>
      </c>
      <c r="T364" s="25" t="s">
        <v>973</v>
      </c>
      <c r="U364" s="25" t="s">
        <v>83</v>
      </c>
      <c r="V364" s="25" t="s">
        <v>249</v>
      </c>
      <c r="W364" s="52" t="s">
        <v>987</v>
      </c>
      <c r="X364" s="52" t="s">
        <v>249</v>
      </c>
      <c r="Y364" s="53">
        <v>0</v>
      </c>
      <c r="Z364" s="53">
        <v>87.06</v>
      </c>
      <c r="AA364" s="5">
        <v>-87.38</v>
      </c>
    </row>
    <row r="365" spans="12:27" x14ac:dyDescent="0.25">
      <c r="L365" s="28"/>
      <c r="M365" s="28"/>
      <c r="N365" s="24">
        <v>45628</v>
      </c>
      <c r="O365" s="25" t="s">
        <v>253</v>
      </c>
      <c r="P365" s="25" t="s">
        <v>988</v>
      </c>
      <c r="Q365" s="25" t="s">
        <v>113</v>
      </c>
      <c r="R365" s="60" t="s">
        <v>114</v>
      </c>
      <c r="S365" s="24">
        <v>45628</v>
      </c>
      <c r="T365" s="25" t="s">
        <v>744</v>
      </c>
      <c r="U365" s="25" t="s">
        <v>83</v>
      </c>
      <c r="V365" s="25" t="s">
        <v>560</v>
      </c>
      <c r="W365" s="52" t="s">
        <v>989</v>
      </c>
      <c r="X365" s="52" t="s">
        <v>560</v>
      </c>
      <c r="Y365" s="53">
        <v>0</v>
      </c>
      <c r="Z365" s="53">
        <v>90.92</v>
      </c>
      <c r="AA365" s="5">
        <v>-41.77</v>
      </c>
    </row>
    <row r="366" spans="12:27" x14ac:dyDescent="0.25">
      <c r="L366" s="28"/>
      <c r="M366" s="28"/>
      <c r="N366" s="24">
        <v>45629</v>
      </c>
      <c r="O366" s="25" t="s">
        <v>253</v>
      </c>
      <c r="P366" s="25" t="s">
        <v>990</v>
      </c>
      <c r="Q366" s="25" t="s">
        <v>113</v>
      </c>
      <c r="R366" s="60" t="s">
        <v>114</v>
      </c>
      <c r="S366" s="24">
        <v>45629</v>
      </c>
      <c r="T366" s="25" t="s">
        <v>976</v>
      </c>
      <c r="U366" s="25" t="s">
        <v>991</v>
      </c>
      <c r="V366" s="25" t="s">
        <v>572</v>
      </c>
      <c r="W366" s="52" t="s">
        <v>992</v>
      </c>
      <c r="X366" s="52" t="s">
        <v>572</v>
      </c>
      <c r="Y366" s="53">
        <v>0</v>
      </c>
      <c r="Z366" s="53">
        <v>1012.36</v>
      </c>
      <c r="AA366" s="5">
        <v>-1022.15</v>
      </c>
    </row>
    <row r="367" spans="12:27" x14ac:dyDescent="0.25">
      <c r="L367" s="28"/>
      <c r="M367" s="28"/>
      <c r="N367" s="24">
        <v>45643</v>
      </c>
      <c r="O367" s="25" t="s">
        <v>253</v>
      </c>
      <c r="P367" s="25" t="s">
        <v>993</v>
      </c>
      <c r="Q367" s="25" t="s">
        <v>113</v>
      </c>
      <c r="R367" s="60" t="s">
        <v>114</v>
      </c>
      <c r="S367" s="24">
        <v>45643</v>
      </c>
      <c r="T367" s="25" t="s">
        <v>910</v>
      </c>
      <c r="U367" s="25" t="s">
        <v>83</v>
      </c>
      <c r="V367" s="25" t="s">
        <v>560</v>
      </c>
      <c r="W367" s="52" t="s">
        <v>994</v>
      </c>
      <c r="X367" s="52" t="s">
        <v>560</v>
      </c>
      <c r="Y367" s="53">
        <v>0</v>
      </c>
      <c r="Z367" s="53">
        <v>218.5</v>
      </c>
      <c r="AA367" s="5">
        <v>-220.52</v>
      </c>
    </row>
    <row r="368" spans="12:27" x14ac:dyDescent="0.25">
      <c r="L368" s="28"/>
      <c r="M368" s="28"/>
      <c r="N368" s="67">
        <v>45649</v>
      </c>
      <c r="O368" s="23" t="s">
        <v>111</v>
      </c>
      <c r="P368" s="25" t="s">
        <v>995</v>
      </c>
      <c r="Q368" s="25" t="s">
        <v>113</v>
      </c>
      <c r="R368" s="60" t="s">
        <v>114</v>
      </c>
      <c r="S368" s="24">
        <v>45649</v>
      </c>
      <c r="T368" s="25" t="s">
        <v>83</v>
      </c>
      <c r="U368" s="25" t="s">
        <v>83</v>
      </c>
      <c r="V368" s="25" t="s">
        <v>996</v>
      </c>
      <c r="W368" s="52" t="s">
        <v>997</v>
      </c>
      <c r="X368" s="52" t="s">
        <v>83</v>
      </c>
      <c r="Y368" s="53">
        <v>0</v>
      </c>
      <c r="Z368" s="53">
        <v>573.02</v>
      </c>
      <c r="AA368" s="5">
        <v>0</v>
      </c>
    </row>
    <row r="369" spans="12:27" x14ac:dyDescent="0.25">
      <c r="L369" s="28"/>
      <c r="M369" s="28"/>
      <c r="N369" s="69"/>
      <c r="O369" s="28"/>
      <c r="P369" s="25" t="s">
        <v>998</v>
      </c>
      <c r="Q369" s="25" t="s">
        <v>113</v>
      </c>
      <c r="R369" s="60" t="s">
        <v>114</v>
      </c>
      <c r="S369" s="24">
        <v>45649</v>
      </c>
      <c r="T369" s="25" t="s">
        <v>83</v>
      </c>
      <c r="U369" s="25" t="s">
        <v>83</v>
      </c>
      <c r="V369" s="25" t="s">
        <v>999</v>
      </c>
      <c r="W369" s="52" t="s">
        <v>1000</v>
      </c>
      <c r="X369" s="52" t="s">
        <v>83</v>
      </c>
      <c r="Y369" s="53">
        <v>0</v>
      </c>
      <c r="Z369" s="53">
        <v>11.85</v>
      </c>
      <c r="AA369" s="5">
        <v>0</v>
      </c>
    </row>
    <row r="370" spans="12:27" x14ac:dyDescent="0.25">
      <c r="L370" s="28"/>
      <c r="M370" s="28"/>
      <c r="N370" s="69"/>
      <c r="O370" s="28"/>
      <c r="P370" s="25" t="s">
        <v>1001</v>
      </c>
      <c r="Q370" s="25" t="s">
        <v>113</v>
      </c>
      <c r="R370" s="60" t="s">
        <v>114</v>
      </c>
      <c r="S370" s="24">
        <v>45649</v>
      </c>
      <c r="T370" s="25" t="s">
        <v>83</v>
      </c>
      <c r="U370" s="25" t="s">
        <v>83</v>
      </c>
      <c r="V370" s="25" t="s">
        <v>1002</v>
      </c>
      <c r="W370" s="52" t="s">
        <v>1003</v>
      </c>
      <c r="X370" s="52" t="s">
        <v>83</v>
      </c>
      <c r="Y370" s="53">
        <v>0</v>
      </c>
      <c r="Z370" s="53">
        <v>50.87</v>
      </c>
      <c r="AA370" s="5">
        <v>0</v>
      </c>
    </row>
    <row r="371" spans="12:27" x14ac:dyDescent="0.25">
      <c r="L371" s="28"/>
      <c r="M371" s="28"/>
      <c r="N371" s="68"/>
      <c r="O371" s="29"/>
      <c r="P371" s="25" t="s">
        <v>1004</v>
      </c>
      <c r="Q371" s="25" t="s">
        <v>113</v>
      </c>
      <c r="R371" s="60" t="s">
        <v>114</v>
      </c>
      <c r="S371" s="24">
        <v>45649</v>
      </c>
      <c r="T371" s="25" t="s">
        <v>83</v>
      </c>
      <c r="U371" s="25" t="s">
        <v>83</v>
      </c>
      <c r="V371" s="25" t="s">
        <v>1005</v>
      </c>
      <c r="W371" s="52" t="s">
        <v>1006</v>
      </c>
      <c r="X371" s="52" t="s">
        <v>83</v>
      </c>
      <c r="Y371" s="53">
        <v>0</v>
      </c>
      <c r="Z371" s="53">
        <v>48.15</v>
      </c>
      <c r="AA371" s="5">
        <v>0</v>
      </c>
    </row>
    <row r="372" spans="12:27" x14ac:dyDescent="0.25">
      <c r="L372" s="28"/>
      <c r="M372" s="28"/>
      <c r="N372" s="24">
        <v>45666</v>
      </c>
      <c r="O372" s="25" t="s">
        <v>253</v>
      </c>
      <c r="P372" s="25" t="s">
        <v>1007</v>
      </c>
      <c r="Q372" s="25" t="s">
        <v>113</v>
      </c>
      <c r="R372" s="60" t="s">
        <v>114</v>
      </c>
      <c r="S372" s="24">
        <v>45666</v>
      </c>
      <c r="T372" s="25" t="s">
        <v>922</v>
      </c>
      <c r="U372" s="25" t="s">
        <v>1008</v>
      </c>
      <c r="V372" s="25" t="s">
        <v>572</v>
      </c>
      <c r="W372" s="52" t="s">
        <v>1009</v>
      </c>
      <c r="X372" s="52" t="s">
        <v>572</v>
      </c>
      <c r="Y372" s="53">
        <v>0</v>
      </c>
      <c r="Z372" s="53">
        <v>59.53</v>
      </c>
      <c r="AA372" s="5">
        <v>-60.01</v>
      </c>
    </row>
    <row r="373" spans="12:27" x14ac:dyDescent="0.25">
      <c r="L373" s="28"/>
      <c r="M373" s="28"/>
      <c r="N373" s="24">
        <v>45671</v>
      </c>
      <c r="O373" s="25" t="s">
        <v>154</v>
      </c>
      <c r="P373" s="25" t="s">
        <v>1010</v>
      </c>
      <c r="Q373" s="25" t="s">
        <v>113</v>
      </c>
      <c r="R373" s="60" t="s">
        <v>114</v>
      </c>
      <c r="S373" s="24">
        <v>45671</v>
      </c>
      <c r="T373" s="25" t="s">
        <v>1011</v>
      </c>
      <c r="U373" s="25" t="s">
        <v>83</v>
      </c>
      <c r="V373" s="25" t="s">
        <v>560</v>
      </c>
      <c r="W373" s="52" t="s">
        <v>1012</v>
      </c>
      <c r="X373" s="52" t="s">
        <v>560</v>
      </c>
      <c r="Y373" s="53">
        <v>0</v>
      </c>
      <c r="Z373" s="53">
        <v>0</v>
      </c>
      <c r="AA373" s="5">
        <v>238.32</v>
      </c>
    </row>
    <row r="374" spans="12:27" x14ac:dyDescent="0.25">
      <c r="L374" s="28"/>
      <c r="M374" s="28"/>
      <c r="N374" s="24">
        <v>45673</v>
      </c>
      <c r="O374" s="25" t="s">
        <v>154</v>
      </c>
      <c r="P374" s="25" t="s">
        <v>1013</v>
      </c>
      <c r="Q374" s="25" t="s">
        <v>113</v>
      </c>
      <c r="R374" s="60" t="s">
        <v>114</v>
      </c>
      <c r="S374" s="24">
        <v>45673</v>
      </c>
      <c r="T374" s="25" t="s">
        <v>1014</v>
      </c>
      <c r="U374" s="25" t="s">
        <v>83</v>
      </c>
      <c r="V374" s="25" t="s">
        <v>572</v>
      </c>
      <c r="W374" s="52" t="s">
        <v>1015</v>
      </c>
      <c r="X374" s="52" t="s">
        <v>572</v>
      </c>
      <c r="Y374" s="53">
        <v>0</v>
      </c>
      <c r="Z374" s="53">
        <v>0</v>
      </c>
      <c r="AA374" s="5">
        <v>690.82</v>
      </c>
    </row>
    <row r="375" spans="12:27" x14ac:dyDescent="0.25">
      <c r="L375" s="28"/>
      <c r="M375" s="28"/>
      <c r="N375" s="24">
        <v>45678</v>
      </c>
      <c r="O375" s="25" t="s">
        <v>111</v>
      </c>
      <c r="P375" s="25" t="s">
        <v>1016</v>
      </c>
      <c r="Q375" s="25" t="s">
        <v>113</v>
      </c>
      <c r="R375" s="60" t="s">
        <v>114</v>
      </c>
      <c r="S375" s="24">
        <v>45678</v>
      </c>
      <c r="T375" s="25" t="s">
        <v>83</v>
      </c>
      <c r="U375" s="25" t="s">
        <v>83</v>
      </c>
      <c r="V375" s="25" t="s">
        <v>1017</v>
      </c>
      <c r="W375" s="52" t="s">
        <v>1018</v>
      </c>
      <c r="X375" s="52" t="s">
        <v>83</v>
      </c>
      <c r="Y375" s="53">
        <v>0</v>
      </c>
      <c r="Z375" s="53">
        <v>451.95</v>
      </c>
      <c r="AA375" s="5">
        <v>0</v>
      </c>
    </row>
    <row r="376" spans="12:27" x14ac:dyDescent="0.25">
      <c r="L376" s="28"/>
      <c r="M376" s="28"/>
      <c r="N376" s="24">
        <v>45679</v>
      </c>
      <c r="O376" s="25" t="s">
        <v>253</v>
      </c>
      <c r="P376" s="25" t="s">
        <v>1019</v>
      </c>
      <c r="Q376" s="25" t="s">
        <v>113</v>
      </c>
      <c r="R376" s="60" t="s">
        <v>114</v>
      </c>
      <c r="S376" s="24">
        <v>45679</v>
      </c>
      <c r="T376" s="25" t="s">
        <v>1011</v>
      </c>
      <c r="U376" s="25" t="s">
        <v>83</v>
      </c>
      <c r="V376" s="25" t="s">
        <v>560</v>
      </c>
      <c r="W376" s="52" t="s">
        <v>1020</v>
      </c>
      <c r="X376" s="52" t="s">
        <v>560</v>
      </c>
      <c r="Y376" s="53">
        <v>0</v>
      </c>
      <c r="Z376" s="53">
        <v>145.19999999999999</v>
      </c>
      <c r="AA376" s="5">
        <v>-146.54</v>
      </c>
    </row>
    <row r="377" spans="12:27" x14ac:dyDescent="0.25">
      <c r="L377" s="28"/>
      <c r="M377" s="28"/>
      <c r="N377" s="67">
        <v>45681</v>
      </c>
      <c r="O377" s="23" t="s">
        <v>111</v>
      </c>
      <c r="P377" s="25" t="s">
        <v>1021</v>
      </c>
      <c r="Q377" s="25" t="s">
        <v>113</v>
      </c>
      <c r="R377" s="60" t="s">
        <v>114</v>
      </c>
      <c r="S377" s="24">
        <v>45681</v>
      </c>
      <c r="T377" s="25" t="s">
        <v>83</v>
      </c>
      <c r="U377" s="25" t="s">
        <v>83</v>
      </c>
      <c r="V377" s="25" t="s">
        <v>1022</v>
      </c>
      <c r="W377" s="52" t="s">
        <v>1023</v>
      </c>
      <c r="X377" s="52" t="s">
        <v>83</v>
      </c>
      <c r="Y377" s="53">
        <v>0</v>
      </c>
      <c r="Z377" s="53">
        <v>47.06</v>
      </c>
      <c r="AA377" s="5">
        <v>0</v>
      </c>
    </row>
    <row r="378" spans="12:27" x14ac:dyDescent="0.25">
      <c r="L378" s="28"/>
      <c r="M378" s="28"/>
      <c r="N378" s="69"/>
      <c r="O378" s="28"/>
      <c r="P378" s="25" t="s">
        <v>1024</v>
      </c>
      <c r="Q378" s="25" t="s">
        <v>113</v>
      </c>
      <c r="R378" s="60" t="s">
        <v>114</v>
      </c>
      <c r="S378" s="24">
        <v>45681</v>
      </c>
      <c r="T378" s="25" t="s">
        <v>83</v>
      </c>
      <c r="U378" s="25" t="s">
        <v>83</v>
      </c>
      <c r="V378" s="25" t="s">
        <v>1022</v>
      </c>
      <c r="W378" s="52" t="s">
        <v>1025</v>
      </c>
      <c r="X378" s="52" t="s">
        <v>83</v>
      </c>
      <c r="Y378" s="53">
        <v>0</v>
      </c>
      <c r="Z378" s="53">
        <v>41.9</v>
      </c>
      <c r="AA378" s="5">
        <v>0</v>
      </c>
    </row>
    <row r="379" spans="12:27" x14ac:dyDescent="0.25">
      <c r="L379" s="28"/>
      <c r="M379" s="28"/>
      <c r="N379" s="68"/>
      <c r="O379" s="29"/>
      <c r="P379" s="25" t="s">
        <v>1026</v>
      </c>
      <c r="Q379" s="25" t="s">
        <v>113</v>
      </c>
      <c r="R379" s="60" t="s">
        <v>114</v>
      </c>
      <c r="S379" s="24">
        <v>45681</v>
      </c>
      <c r="T379" s="25" t="s">
        <v>83</v>
      </c>
      <c r="U379" s="25" t="s">
        <v>83</v>
      </c>
      <c r="V379" s="25" t="s">
        <v>1022</v>
      </c>
      <c r="W379" s="52" t="s">
        <v>1027</v>
      </c>
      <c r="X379" s="52" t="s">
        <v>83</v>
      </c>
      <c r="Y379" s="53">
        <v>0</v>
      </c>
      <c r="Z379" s="53">
        <v>59.24</v>
      </c>
      <c r="AA379" s="5">
        <v>0</v>
      </c>
    </row>
    <row r="380" spans="12:27" x14ac:dyDescent="0.25">
      <c r="L380" s="28"/>
      <c r="M380" s="28"/>
      <c r="N380" s="24">
        <v>45685</v>
      </c>
      <c r="O380" s="25" t="s">
        <v>253</v>
      </c>
      <c r="P380" s="25" t="s">
        <v>1028</v>
      </c>
      <c r="Q380" s="25" t="s">
        <v>113</v>
      </c>
      <c r="R380" s="60" t="s">
        <v>114</v>
      </c>
      <c r="S380" s="24">
        <v>45685</v>
      </c>
      <c r="T380" s="25" t="s">
        <v>1014</v>
      </c>
      <c r="U380" s="25" t="s">
        <v>1029</v>
      </c>
      <c r="V380" s="25" t="s">
        <v>572</v>
      </c>
      <c r="W380" s="52" t="s">
        <v>1030</v>
      </c>
      <c r="X380" s="52" t="s">
        <v>572</v>
      </c>
      <c r="Y380" s="53">
        <v>0</v>
      </c>
      <c r="Z380" s="53">
        <v>691.65</v>
      </c>
      <c r="AA380" s="5">
        <v>-690.82</v>
      </c>
    </row>
    <row r="381" spans="12:27" x14ac:dyDescent="0.25">
      <c r="L381" s="28"/>
      <c r="M381" s="28"/>
      <c r="N381" s="24">
        <v>45686</v>
      </c>
      <c r="O381" s="25" t="s">
        <v>154</v>
      </c>
      <c r="P381" s="25" t="s">
        <v>1031</v>
      </c>
      <c r="Q381" s="25" t="s">
        <v>113</v>
      </c>
      <c r="R381" s="60" t="s">
        <v>114</v>
      </c>
      <c r="S381" s="24">
        <v>45686</v>
      </c>
      <c r="T381" s="25" t="s">
        <v>1032</v>
      </c>
      <c r="U381" s="25" t="s">
        <v>83</v>
      </c>
      <c r="V381" s="25" t="s">
        <v>560</v>
      </c>
      <c r="W381" s="52" t="s">
        <v>1033</v>
      </c>
      <c r="X381" s="52" t="s">
        <v>560</v>
      </c>
      <c r="Y381" s="53">
        <v>0</v>
      </c>
      <c r="Z381" s="53">
        <v>0</v>
      </c>
      <c r="AA381" s="5">
        <v>1105.23</v>
      </c>
    </row>
    <row r="382" spans="12:27" x14ac:dyDescent="0.25">
      <c r="L382" s="28"/>
      <c r="M382" s="28"/>
      <c r="N382" s="67">
        <v>45687</v>
      </c>
      <c r="O382" s="23" t="s">
        <v>154</v>
      </c>
      <c r="P382" s="25" t="s">
        <v>1034</v>
      </c>
      <c r="Q382" s="25" t="s">
        <v>113</v>
      </c>
      <c r="R382" s="60" t="s">
        <v>114</v>
      </c>
      <c r="S382" s="24">
        <v>45687</v>
      </c>
      <c r="T382" s="25" t="s">
        <v>1035</v>
      </c>
      <c r="U382" s="25" t="s">
        <v>83</v>
      </c>
      <c r="V382" s="25" t="s">
        <v>249</v>
      </c>
      <c r="W382" s="52" t="s">
        <v>1036</v>
      </c>
      <c r="X382" s="52" t="s">
        <v>249</v>
      </c>
      <c r="Y382" s="53">
        <v>0</v>
      </c>
      <c r="Z382" s="53">
        <v>0</v>
      </c>
      <c r="AA382" s="5">
        <v>102.12</v>
      </c>
    </row>
    <row r="383" spans="12:27" x14ac:dyDescent="0.25">
      <c r="L383" s="28"/>
      <c r="M383" s="28"/>
      <c r="N383" s="68"/>
      <c r="O383" s="29"/>
      <c r="P383" s="25" t="s">
        <v>1037</v>
      </c>
      <c r="Q383" s="25" t="s">
        <v>113</v>
      </c>
      <c r="R383" s="60" t="s">
        <v>114</v>
      </c>
      <c r="S383" s="24">
        <v>45687</v>
      </c>
      <c r="T383" s="25" t="s">
        <v>1038</v>
      </c>
      <c r="U383" s="25" t="s">
        <v>83</v>
      </c>
      <c r="V383" s="25" t="s">
        <v>564</v>
      </c>
      <c r="W383" s="52" t="s">
        <v>1039</v>
      </c>
      <c r="X383" s="52" t="s">
        <v>564</v>
      </c>
      <c r="Y383" s="53">
        <v>0</v>
      </c>
      <c r="Z383" s="53">
        <v>0</v>
      </c>
      <c r="AA383" s="5">
        <v>170.2</v>
      </c>
    </row>
    <row r="384" spans="12:27" x14ac:dyDescent="0.25">
      <c r="L384" s="28"/>
      <c r="M384" s="28"/>
      <c r="N384" s="24">
        <v>45692</v>
      </c>
      <c r="O384" s="25" t="s">
        <v>159</v>
      </c>
      <c r="P384" s="25" t="s">
        <v>1040</v>
      </c>
      <c r="Q384" s="25" t="s">
        <v>113</v>
      </c>
      <c r="R384" s="60" t="s">
        <v>114</v>
      </c>
      <c r="S384" s="24">
        <v>45692</v>
      </c>
      <c r="T384" s="25" t="s">
        <v>1038</v>
      </c>
      <c r="U384" s="25" t="s">
        <v>83</v>
      </c>
      <c r="V384" s="25" t="s">
        <v>564</v>
      </c>
      <c r="W384" s="52" t="s">
        <v>1041</v>
      </c>
      <c r="X384" s="52" t="s">
        <v>564</v>
      </c>
      <c r="Y384" s="53">
        <v>0</v>
      </c>
      <c r="Z384" s="53">
        <v>250.7</v>
      </c>
      <c r="AA384" s="5">
        <v>-170.2</v>
      </c>
    </row>
    <row r="385" spans="12:27" x14ac:dyDescent="0.25">
      <c r="L385" s="28"/>
      <c r="M385" s="28"/>
      <c r="N385" s="24">
        <v>45693</v>
      </c>
      <c r="O385" s="25" t="s">
        <v>253</v>
      </c>
      <c r="P385" s="25" t="s">
        <v>1042</v>
      </c>
      <c r="Q385" s="25" t="s">
        <v>113</v>
      </c>
      <c r="R385" s="60" t="s">
        <v>114</v>
      </c>
      <c r="S385" s="24">
        <v>45693</v>
      </c>
      <c r="T385" s="25" t="s">
        <v>1035</v>
      </c>
      <c r="U385" s="25" t="s">
        <v>83</v>
      </c>
      <c r="V385" s="25" t="s">
        <v>249</v>
      </c>
      <c r="W385" s="52" t="s">
        <v>1043</v>
      </c>
      <c r="X385" s="52" t="s">
        <v>249</v>
      </c>
      <c r="Y385" s="53">
        <v>0</v>
      </c>
      <c r="Z385" s="53">
        <v>58.89</v>
      </c>
      <c r="AA385" s="5">
        <v>-59.11</v>
      </c>
    </row>
    <row r="386" spans="12:27" x14ac:dyDescent="0.25">
      <c r="L386" s="28"/>
      <c r="M386" s="28"/>
      <c r="N386" s="67">
        <v>45695</v>
      </c>
      <c r="O386" s="23" t="s">
        <v>111</v>
      </c>
      <c r="P386" s="23" t="s">
        <v>1044</v>
      </c>
      <c r="Q386" s="23" t="s">
        <v>113</v>
      </c>
      <c r="R386" s="61" t="s">
        <v>114</v>
      </c>
      <c r="S386" s="58">
        <v>45695</v>
      </c>
      <c r="T386" s="23" t="s">
        <v>83</v>
      </c>
      <c r="U386" s="23" t="s">
        <v>83</v>
      </c>
      <c r="V386" s="25" t="s">
        <v>1045</v>
      </c>
      <c r="W386" s="52" t="s">
        <v>1046</v>
      </c>
      <c r="X386" s="52" t="s">
        <v>83</v>
      </c>
      <c r="Y386" s="53">
        <v>0</v>
      </c>
      <c r="Z386" s="53">
        <v>2000.75</v>
      </c>
      <c r="AA386" s="5">
        <v>0</v>
      </c>
    </row>
    <row r="387" spans="12:27" x14ac:dyDescent="0.25">
      <c r="L387" s="28"/>
      <c r="M387" s="28"/>
      <c r="N387" s="69"/>
      <c r="O387" s="29"/>
      <c r="P387" s="29"/>
      <c r="Q387" s="29"/>
      <c r="R387" s="63"/>
      <c r="S387" s="59"/>
      <c r="T387" s="29"/>
      <c r="U387" s="29"/>
      <c r="V387" s="25" t="s">
        <v>1047</v>
      </c>
      <c r="W387" s="52" t="s">
        <v>1046</v>
      </c>
      <c r="X387" s="52" t="s">
        <v>83</v>
      </c>
      <c r="Y387" s="53">
        <v>0</v>
      </c>
      <c r="Z387" s="53">
        <v>27.25</v>
      </c>
      <c r="AA387" s="5">
        <v>0</v>
      </c>
    </row>
    <row r="388" spans="12:27" x14ac:dyDescent="0.25">
      <c r="L388" s="28"/>
      <c r="M388" s="28"/>
      <c r="N388" s="69"/>
      <c r="O388" s="25" t="s">
        <v>159</v>
      </c>
      <c r="P388" s="25" t="s">
        <v>1048</v>
      </c>
      <c r="Q388" s="25" t="s">
        <v>113</v>
      </c>
      <c r="R388" s="60" t="s">
        <v>114</v>
      </c>
      <c r="S388" s="24">
        <v>45695</v>
      </c>
      <c r="T388" s="25" t="s">
        <v>651</v>
      </c>
      <c r="U388" s="25" t="s">
        <v>83</v>
      </c>
      <c r="V388" s="25" t="s">
        <v>652</v>
      </c>
      <c r="W388" s="52" t="s">
        <v>1049</v>
      </c>
      <c r="X388" s="52" t="s">
        <v>652</v>
      </c>
      <c r="Y388" s="53">
        <v>0</v>
      </c>
      <c r="Z388" s="53">
        <v>197.21</v>
      </c>
      <c r="AA388" s="5">
        <v>-197.21</v>
      </c>
    </row>
    <row r="389" spans="12:27" x14ac:dyDescent="0.25">
      <c r="L389" s="28"/>
      <c r="M389" s="28"/>
      <c r="N389" s="68"/>
      <c r="O389" s="25" t="s">
        <v>253</v>
      </c>
      <c r="P389" s="25" t="s">
        <v>1050</v>
      </c>
      <c r="Q389" s="25" t="s">
        <v>113</v>
      </c>
      <c r="R389" s="60" t="s">
        <v>114</v>
      </c>
      <c r="S389" s="24">
        <v>45695</v>
      </c>
      <c r="T389" s="25" t="s">
        <v>1035</v>
      </c>
      <c r="U389" s="25" t="s">
        <v>83</v>
      </c>
      <c r="V389" s="25" t="s">
        <v>249</v>
      </c>
      <c r="W389" s="52" t="s">
        <v>1051</v>
      </c>
      <c r="X389" s="52" t="s">
        <v>249</v>
      </c>
      <c r="Y389" s="53">
        <v>0</v>
      </c>
      <c r="Z389" s="53">
        <v>42.85</v>
      </c>
      <c r="AA389" s="5">
        <v>-43.01</v>
      </c>
    </row>
    <row r="390" spans="12:27" x14ac:dyDescent="0.25">
      <c r="L390" s="28"/>
      <c r="M390" s="28"/>
      <c r="N390" s="24">
        <v>45700</v>
      </c>
      <c r="O390" s="25" t="s">
        <v>253</v>
      </c>
      <c r="P390" s="25" t="s">
        <v>1052</v>
      </c>
      <c r="Q390" s="25" t="s">
        <v>113</v>
      </c>
      <c r="R390" s="60" t="s">
        <v>114</v>
      </c>
      <c r="S390" s="24">
        <v>45700</v>
      </c>
      <c r="T390" s="25" t="s">
        <v>1032</v>
      </c>
      <c r="U390" s="25" t="s">
        <v>83</v>
      </c>
      <c r="V390" s="25" t="s">
        <v>560</v>
      </c>
      <c r="W390" s="52" t="s">
        <v>1053</v>
      </c>
      <c r="X390" s="52" t="s">
        <v>560</v>
      </c>
      <c r="Y390" s="53">
        <v>0</v>
      </c>
      <c r="Z390" s="53">
        <v>852.06</v>
      </c>
      <c r="AA390" s="5">
        <v>-859.94</v>
      </c>
    </row>
    <row r="391" spans="12:27" x14ac:dyDescent="0.25">
      <c r="L391" s="28"/>
      <c r="M391" s="28"/>
      <c r="N391" s="67">
        <v>45702</v>
      </c>
      <c r="O391" s="23" t="s">
        <v>111</v>
      </c>
      <c r="P391" s="25" t="s">
        <v>1054</v>
      </c>
      <c r="Q391" s="25" t="s">
        <v>113</v>
      </c>
      <c r="R391" s="60" t="s">
        <v>114</v>
      </c>
      <c r="S391" s="24">
        <v>45702</v>
      </c>
      <c r="T391" s="25" t="s">
        <v>83</v>
      </c>
      <c r="U391" s="25" t="s">
        <v>83</v>
      </c>
      <c r="V391" s="25" t="s">
        <v>1055</v>
      </c>
      <c r="W391" s="52" t="s">
        <v>1056</v>
      </c>
      <c r="X391" s="52" t="s">
        <v>83</v>
      </c>
      <c r="Y391" s="53">
        <v>0</v>
      </c>
      <c r="Z391" s="53">
        <v>94.18</v>
      </c>
      <c r="AA391" s="5">
        <v>0</v>
      </c>
    </row>
    <row r="392" spans="12:27" x14ac:dyDescent="0.25">
      <c r="L392" s="28"/>
      <c r="M392" s="28"/>
      <c r="N392" s="68"/>
      <c r="O392" s="29"/>
      <c r="P392" s="25" t="s">
        <v>1057</v>
      </c>
      <c r="Q392" s="25" t="s">
        <v>113</v>
      </c>
      <c r="R392" s="60" t="s">
        <v>114</v>
      </c>
      <c r="S392" s="24">
        <v>45702</v>
      </c>
      <c r="T392" s="25" t="s">
        <v>83</v>
      </c>
      <c r="U392" s="25" t="s">
        <v>83</v>
      </c>
      <c r="V392" s="25" t="s">
        <v>1058</v>
      </c>
      <c r="W392" s="52" t="s">
        <v>1059</v>
      </c>
      <c r="X392" s="52" t="s">
        <v>83</v>
      </c>
      <c r="Y392" s="53">
        <v>0</v>
      </c>
      <c r="Z392" s="53">
        <v>109.42</v>
      </c>
      <c r="AA392" s="5">
        <v>0</v>
      </c>
    </row>
    <row r="393" spans="12:27" x14ac:dyDescent="0.25">
      <c r="L393" s="28"/>
      <c r="M393" s="28"/>
      <c r="N393" s="67">
        <v>45706</v>
      </c>
      <c r="O393" s="23" t="s">
        <v>111</v>
      </c>
      <c r="P393" s="25" t="s">
        <v>1060</v>
      </c>
      <c r="Q393" s="25" t="s">
        <v>113</v>
      </c>
      <c r="R393" s="60" t="s">
        <v>114</v>
      </c>
      <c r="S393" s="24">
        <v>45706</v>
      </c>
      <c r="T393" s="25" t="s">
        <v>83</v>
      </c>
      <c r="U393" s="25" t="s">
        <v>83</v>
      </c>
      <c r="V393" s="25" t="s">
        <v>1061</v>
      </c>
      <c r="W393" s="52" t="s">
        <v>1062</v>
      </c>
      <c r="X393" s="52" t="s">
        <v>83</v>
      </c>
      <c r="Y393" s="53">
        <v>0</v>
      </c>
      <c r="Z393" s="53">
        <v>56.48</v>
      </c>
      <c r="AA393" s="5">
        <v>0</v>
      </c>
    </row>
    <row r="394" spans="12:27" x14ac:dyDescent="0.25">
      <c r="L394" s="28"/>
      <c r="M394" s="28"/>
      <c r="N394" s="69"/>
      <c r="O394" s="28"/>
      <c r="P394" s="25" t="s">
        <v>1063</v>
      </c>
      <c r="Q394" s="25" t="s">
        <v>113</v>
      </c>
      <c r="R394" s="60" t="s">
        <v>114</v>
      </c>
      <c r="S394" s="24">
        <v>45706</v>
      </c>
      <c r="T394" s="25" t="s">
        <v>83</v>
      </c>
      <c r="U394" s="25" t="s">
        <v>83</v>
      </c>
      <c r="V394" s="25" t="s">
        <v>1064</v>
      </c>
      <c r="W394" s="52" t="s">
        <v>1065</v>
      </c>
      <c r="X394" s="52" t="s">
        <v>83</v>
      </c>
      <c r="Y394" s="53">
        <v>0</v>
      </c>
      <c r="Z394" s="53">
        <v>143.43</v>
      </c>
      <c r="AA394" s="5">
        <v>0</v>
      </c>
    </row>
    <row r="395" spans="12:27" x14ac:dyDescent="0.25">
      <c r="L395" s="28"/>
      <c r="M395" s="28"/>
      <c r="N395" s="69"/>
      <c r="O395" s="28"/>
      <c r="P395" s="25" t="s">
        <v>1066</v>
      </c>
      <c r="Q395" s="25" t="s">
        <v>113</v>
      </c>
      <c r="R395" s="60" t="s">
        <v>114</v>
      </c>
      <c r="S395" s="24">
        <v>45706</v>
      </c>
      <c r="T395" s="25" t="s">
        <v>83</v>
      </c>
      <c r="U395" s="25" t="s">
        <v>83</v>
      </c>
      <c r="V395" s="25" t="s">
        <v>1067</v>
      </c>
      <c r="W395" s="52" t="s">
        <v>1068</v>
      </c>
      <c r="X395" s="52" t="s">
        <v>83</v>
      </c>
      <c r="Y395" s="53">
        <v>0</v>
      </c>
      <c r="Z395" s="53">
        <v>39.729999999999997</v>
      </c>
      <c r="AA395" s="5">
        <v>0</v>
      </c>
    </row>
    <row r="396" spans="12:27" x14ac:dyDescent="0.25">
      <c r="L396" s="28"/>
      <c r="M396" s="28"/>
      <c r="N396" s="69"/>
      <c r="O396" s="28"/>
      <c r="P396" s="25" t="s">
        <v>1069</v>
      </c>
      <c r="Q396" s="25" t="s">
        <v>113</v>
      </c>
      <c r="R396" s="60" t="s">
        <v>114</v>
      </c>
      <c r="S396" s="24">
        <v>45706</v>
      </c>
      <c r="T396" s="25" t="s">
        <v>83</v>
      </c>
      <c r="U396" s="25" t="s">
        <v>83</v>
      </c>
      <c r="V396" s="25" t="s">
        <v>1067</v>
      </c>
      <c r="W396" s="52" t="s">
        <v>1070</v>
      </c>
      <c r="X396" s="52" t="s">
        <v>83</v>
      </c>
      <c r="Y396" s="53">
        <v>0</v>
      </c>
      <c r="Z396" s="53">
        <v>119.17</v>
      </c>
      <c r="AA396" s="5">
        <v>0</v>
      </c>
    </row>
    <row r="397" spans="12:27" x14ac:dyDescent="0.25">
      <c r="L397" s="28"/>
      <c r="M397" s="28"/>
      <c r="N397" s="69"/>
      <c r="O397" s="29"/>
      <c r="P397" s="25" t="s">
        <v>1071</v>
      </c>
      <c r="Q397" s="25" t="s">
        <v>113</v>
      </c>
      <c r="R397" s="60" t="s">
        <v>114</v>
      </c>
      <c r="S397" s="24">
        <v>45706</v>
      </c>
      <c r="T397" s="25" t="s">
        <v>83</v>
      </c>
      <c r="U397" s="25" t="s">
        <v>83</v>
      </c>
      <c r="V397" s="25" t="s">
        <v>1072</v>
      </c>
      <c r="W397" s="52" t="s">
        <v>1073</v>
      </c>
      <c r="X397" s="52" t="s">
        <v>83</v>
      </c>
      <c r="Y397" s="53">
        <v>0</v>
      </c>
      <c r="Z397" s="53">
        <v>78.25</v>
      </c>
      <c r="AA397" s="5">
        <v>0</v>
      </c>
    </row>
    <row r="398" spans="12:27" x14ac:dyDescent="0.25">
      <c r="L398" s="28"/>
      <c r="M398" s="28"/>
      <c r="N398" s="68"/>
      <c r="O398" s="25" t="s">
        <v>253</v>
      </c>
      <c r="P398" s="25" t="s">
        <v>1074</v>
      </c>
      <c r="Q398" s="25" t="s">
        <v>113</v>
      </c>
      <c r="R398" s="60" t="s">
        <v>114</v>
      </c>
      <c r="S398" s="24">
        <v>45706</v>
      </c>
      <c r="T398" s="25" t="s">
        <v>1032</v>
      </c>
      <c r="U398" s="25" t="s">
        <v>83</v>
      </c>
      <c r="V398" s="25" t="s">
        <v>560</v>
      </c>
      <c r="W398" s="52" t="s">
        <v>1075</v>
      </c>
      <c r="X398" s="52" t="s">
        <v>560</v>
      </c>
      <c r="Y398" s="53">
        <v>0</v>
      </c>
      <c r="Z398" s="53">
        <v>186.4</v>
      </c>
      <c r="AA398" s="5">
        <v>-188.12</v>
      </c>
    </row>
    <row r="399" spans="12:27" x14ac:dyDescent="0.25">
      <c r="L399" s="28"/>
      <c r="M399" s="28"/>
      <c r="N399" s="24">
        <v>45708</v>
      </c>
      <c r="O399" s="25" t="s">
        <v>253</v>
      </c>
      <c r="P399" s="25" t="s">
        <v>1076</v>
      </c>
      <c r="Q399" s="25" t="s">
        <v>113</v>
      </c>
      <c r="R399" s="60" t="s">
        <v>114</v>
      </c>
      <c r="S399" s="24">
        <v>45708</v>
      </c>
      <c r="T399" s="25" t="s">
        <v>1032</v>
      </c>
      <c r="U399" s="25" t="s">
        <v>83</v>
      </c>
      <c r="V399" s="25" t="s">
        <v>560</v>
      </c>
      <c r="W399" s="52" t="s">
        <v>1077</v>
      </c>
      <c r="X399" s="52" t="s">
        <v>560</v>
      </c>
      <c r="Y399" s="53">
        <v>0</v>
      </c>
      <c r="Z399" s="53">
        <v>59.76</v>
      </c>
      <c r="AA399" s="5">
        <v>-57.17</v>
      </c>
    </row>
    <row r="400" spans="12:27" x14ac:dyDescent="0.25">
      <c r="L400" s="28"/>
      <c r="M400" s="28"/>
      <c r="N400" s="24">
        <v>45748</v>
      </c>
      <c r="O400" s="25" t="s">
        <v>253</v>
      </c>
      <c r="P400" s="25" t="s">
        <v>1078</v>
      </c>
      <c r="Q400" s="25" t="s">
        <v>113</v>
      </c>
      <c r="R400" s="60" t="s">
        <v>114</v>
      </c>
      <c r="S400" s="24">
        <v>45748</v>
      </c>
      <c r="T400" s="25" t="s">
        <v>663</v>
      </c>
      <c r="U400" s="25" t="s">
        <v>83</v>
      </c>
      <c r="V400" s="25" t="s">
        <v>560</v>
      </c>
      <c r="W400" s="52" t="s">
        <v>1079</v>
      </c>
      <c r="X400" s="52" t="s">
        <v>560</v>
      </c>
      <c r="Y400" s="53">
        <v>0</v>
      </c>
      <c r="Z400" s="53">
        <v>288.61</v>
      </c>
      <c r="AA400" s="5">
        <v>-291.27</v>
      </c>
    </row>
    <row r="401" spans="12:27" x14ac:dyDescent="0.25">
      <c r="L401" s="28"/>
      <c r="M401" s="28"/>
      <c r="N401" s="24">
        <v>45763</v>
      </c>
      <c r="O401" s="25" t="s">
        <v>253</v>
      </c>
      <c r="P401" s="25" t="s">
        <v>1080</v>
      </c>
      <c r="Q401" s="25" t="s">
        <v>113</v>
      </c>
      <c r="R401" s="60" t="s">
        <v>114</v>
      </c>
      <c r="S401" s="24">
        <v>45763</v>
      </c>
      <c r="T401" s="25" t="s">
        <v>933</v>
      </c>
      <c r="U401" s="25" t="s">
        <v>1081</v>
      </c>
      <c r="V401" s="25" t="s">
        <v>572</v>
      </c>
      <c r="W401" s="52" t="s">
        <v>1082</v>
      </c>
      <c r="X401" s="52" t="s">
        <v>572</v>
      </c>
      <c r="Y401" s="53">
        <v>0</v>
      </c>
      <c r="Z401" s="53">
        <v>331.73</v>
      </c>
      <c r="AA401" s="5">
        <v>-318.95999999999998</v>
      </c>
    </row>
    <row r="402" spans="12:27" x14ac:dyDescent="0.25">
      <c r="L402" s="28"/>
      <c r="M402" s="28"/>
      <c r="N402" s="24">
        <v>45817</v>
      </c>
      <c r="O402" s="25" t="s">
        <v>154</v>
      </c>
      <c r="P402" s="25" t="s">
        <v>1083</v>
      </c>
      <c r="Q402" s="25" t="s">
        <v>113</v>
      </c>
      <c r="R402" s="60" t="s">
        <v>114</v>
      </c>
      <c r="S402" s="24">
        <v>45817</v>
      </c>
      <c r="T402" s="25" t="s">
        <v>1084</v>
      </c>
      <c r="U402" s="25" t="s">
        <v>83</v>
      </c>
      <c r="V402" s="25" t="s">
        <v>926</v>
      </c>
      <c r="W402" s="52" t="s">
        <v>1085</v>
      </c>
      <c r="X402" s="52" t="s">
        <v>926</v>
      </c>
      <c r="Y402" s="53">
        <v>0</v>
      </c>
      <c r="Z402" s="53">
        <v>0</v>
      </c>
      <c r="AA402" s="5">
        <v>39.57</v>
      </c>
    </row>
    <row r="403" spans="12:27" x14ac:dyDescent="0.25">
      <c r="L403" s="28"/>
      <c r="M403" s="28"/>
      <c r="N403" s="67">
        <v>45819</v>
      </c>
      <c r="O403" s="25" t="s">
        <v>329</v>
      </c>
      <c r="P403" s="25" t="s">
        <v>1086</v>
      </c>
      <c r="Q403" s="25" t="s">
        <v>113</v>
      </c>
      <c r="R403" s="60" t="s">
        <v>114</v>
      </c>
      <c r="S403" s="24">
        <v>45819</v>
      </c>
      <c r="T403" s="25" t="s">
        <v>83</v>
      </c>
      <c r="U403" s="25" t="s">
        <v>83</v>
      </c>
      <c r="V403" s="25" t="s">
        <v>1087</v>
      </c>
      <c r="W403" s="52" t="s">
        <v>1088</v>
      </c>
      <c r="X403" s="52" t="s">
        <v>83</v>
      </c>
      <c r="Y403" s="53">
        <v>0</v>
      </c>
      <c r="Z403" s="53">
        <v>65.16</v>
      </c>
      <c r="AA403" s="5">
        <v>0</v>
      </c>
    </row>
    <row r="404" spans="12:27" x14ac:dyDescent="0.25">
      <c r="L404" s="28"/>
      <c r="M404" s="28"/>
      <c r="N404" s="68"/>
      <c r="O404" s="25" t="s">
        <v>253</v>
      </c>
      <c r="P404" s="25" t="s">
        <v>1089</v>
      </c>
      <c r="Q404" s="25" t="s">
        <v>113</v>
      </c>
      <c r="R404" s="60" t="s">
        <v>114</v>
      </c>
      <c r="S404" s="24">
        <v>45819</v>
      </c>
      <c r="T404" s="25" t="s">
        <v>1084</v>
      </c>
      <c r="U404" s="25" t="s">
        <v>83</v>
      </c>
      <c r="V404" s="25" t="s">
        <v>926</v>
      </c>
      <c r="W404" s="52" t="s">
        <v>1090</v>
      </c>
      <c r="X404" s="52" t="s">
        <v>926</v>
      </c>
      <c r="Y404" s="53">
        <v>0</v>
      </c>
      <c r="Z404" s="53">
        <v>39.450000000000003</v>
      </c>
      <c r="AA404" s="5">
        <v>-39.57</v>
      </c>
    </row>
    <row r="405" spans="12:27" x14ac:dyDescent="0.25">
      <c r="L405" s="28"/>
      <c r="M405" s="28"/>
      <c r="N405" s="24">
        <v>45825</v>
      </c>
      <c r="O405" s="25" t="s">
        <v>154</v>
      </c>
      <c r="P405" s="25" t="s">
        <v>1091</v>
      </c>
      <c r="Q405" s="25" t="s">
        <v>113</v>
      </c>
      <c r="R405" s="60" t="s">
        <v>114</v>
      </c>
      <c r="S405" s="24">
        <v>45825</v>
      </c>
      <c r="T405" s="25" t="s">
        <v>1092</v>
      </c>
      <c r="U405" s="25" t="s">
        <v>83</v>
      </c>
      <c r="V405" s="25" t="s">
        <v>560</v>
      </c>
      <c r="W405" s="52" t="s">
        <v>1093</v>
      </c>
      <c r="X405" s="52" t="s">
        <v>560</v>
      </c>
      <c r="Y405" s="53">
        <v>0</v>
      </c>
      <c r="Z405" s="53">
        <v>0</v>
      </c>
      <c r="AA405" s="5">
        <v>29.99</v>
      </c>
    </row>
    <row r="406" spans="12:27" x14ac:dyDescent="0.25">
      <c r="L406" s="28"/>
      <c r="M406" s="28"/>
      <c r="N406" s="24">
        <v>45826</v>
      </c>
      <c r="O406" s="25" t="s">
        <v>253</v>
      </c>
      <c r="P406" s="25" t="s">
        <v>1094</v>
      </c>
      <c r="Q406" s="25" t="s">
        <v>113</v>
      </c>
      <c r="R406" s="60" t="s">
        <v>114</v>
      </c>
      <c r="S406" s="24">
        <v>45826</v>
      </c>
      <c r="T406" s="25" t="s">
        <v>779</v>
      </c>
      <c r="U406" s="25" t="s">
        <v>83</v>
      </c>
      <c r="V406" s="25" t="s">
        <v>249</v>
      </c>
      <c r="W406" s="52" t="s">
        <v>1095</v>
      </c>
      <c r="X406" s="52" t="s">
        <v>249</v>
      </c>
      <c r="Y406" s="53">
        <v>0</v>
      </c>
      <c r="Z406" s="53">
        <v>46.75</v>
      </c>
      <c r="AA406" s="5">
        <v>-46.92</v>
      </c>
    </row>
    <row r="407" spans="12:27" x14ac:dyDescent="0.25">
      <c r="L407" s="28"/>
      <c r="M407" s="28"/>
      <c r="N407" s="24">
        <v>45838</v>
      </c>
      <c r="O407" s="25" t="s">
        <v>154</v>
      </c>
      <c r="P407" s="25" t="s">
        <v>1096</v>
      </c>
      <c r="Q407" s="25" t="s">
        <v>113</v>
      </c>
      <c r="R407" s="60" t="s">
        <v>114</v>
      </c>
      <c r="S407" s="24">
        <v>45838</v>
      </c>
      <c r="T407" s="25" t="s">
        <v>1097</v>
      </c>
      <c r="U407" s="25" t="s">
        <v>83</v>
      </c>
      <c r="V407" s="25" t="s">
        <v>1098</v>
      </c>
      <c r="W407" s="52" t="s">
        <v>1099</v>
      </c>
      <c r="X407" s="52" t="s">
        <v>1098</v>
      </c>
      <c r="Y407" s="53">
        <v>0</v>
      </c>
      <c r="Z407" s="53">
        <v>0</v>
      </c>
      <c r="AA407" s="5">
        <v>22.26</v>
      </c>
    </row>
    <row r="408" spans="12:27" x14ac:dyDescent="0.25">
      <c r="L408" s="28"/>
      <c r="M408" s="28"/>
      <c r="N408" s="24">
        <v>45846</v>
      </c>
      <c r="O408" s="25" t="s">
        <v>253</v>
      </c>
      <c r="P408" s="25" t="s">
        <v>1100</v>
      </c>
      <c r="Q408" s="25" t="s">
        <v>113</v>
      </c>
      <c r="R408" s="60" t="s">
        <v>114</v>
      </c>
      <c r="S408" s="24">
        <v>45846</v>
      </c>
      <c r="T408" s="25" t="s">
        <v>1092</v>
      </c>
      <c r="U408" s="25" t="s">
        <v>1101</v>
      </c>
      <c r="V408" s="25" t="s">
        <v>560</v>
      </c>
      <c r="W408" s="52" t="s">
        <v>1102</v>
      </c>
      <c r="X408" s="52" t="s">
        <v>560</v>
      </c>
      <c r="Y408" s="53">
        <v>0</v>
      </c>
      <c r="Z408" s="53">
        <v>32.42</v>
      </c>
      <c r="AA408" s="5">
        <v>-29.99</v>
      </c>
    </row>
    <row r="409" spans="12:27" x14ac:dyDescent="0.25">
      <c r="L409" s="28"/>
      <c r="M409" s="28"/>
      <c r="N409" s="67">
        <v>45849</v>
      </c>
      <c r="O409" s="23" t="s">
        <v>469</v>
      </c>
      <c r="P409" s="23" t="s">
        <v>470</v>
      </c>
      <c r="Q409" s="23" t="s">
        <v>113</v>
      </c>
      <c r="R409" s="61" t="s">
        <v>114</v>
      </c>
      <c r="S409" s="58">
        <v>45849</v>
      </c>
      <c r="T409" s="23" t="s">
        <v>83</v>
      </c>
      <c r="U409" s="23" t="s">
        <v>83</v>
      </c>
      <c r="V409" s="25" t="s">
        <v>1103</v>
      </c>
      <c r="W409" s="52" t="s">
        <v>472</v>
      </c>
      <c r="X409" s="52" t="s">
        <v>83</v>
      </c>
      <c r="Y409" s="53">
        <v>0</v>
      </c>
      <c r="Z409" s="53">
        <v>19.5</v>
      </c>
      <c r="AA409" s="5">
        <v>0</v>
      </c>
    </row>
    <row r="410" spans="12:27" x14ac:dyDescent="0.25">
      <c r="L410" s="28"/>
      <c r="M410" s="28"/>
      <c r="N410" s="69"/>
      <c r="O410" s="28"/>
      <c r="P410" s="28"/>
      <c r="Q410" s="28"/>
      <c r="R410" s="85"/>
      <c r="S410" s="62"/>
      <c r="T410" s="28"/>
      <c r="U410" s="28"/>
      <c r="V410" s="25" t="s">
        <v>1104</v>
      </c>
      <c r="W410" s="52" t="s">
        <v>472</v>
      </c>
      <c r="X410" s="52" t="s">
        <v>83</v>
      </c>
      <c r="Y410" s="53">
        <v>0</v>
      </c>
      <c r="Z410" s="53">
        <v>28.59</v>
      </c>
      <c r="AA410" s="5">
        <v>0</v>
      </c>
    </row>
    <row r="411" spans="12:27" x14ac:dyDescent="0.25">
      <c r="L411" s="28"/>
      <c r="M411" s="28"/>
      <c r="N411" s="69"/>
      <c r="O411" s="28"/>
      <c r="P411" s="28"/>
      <c r="Q411" s="28"/>
      <c r="R411" s="85"/>
      <c r="S411" s="62"/>
      <c r="T411" s="28"/>
      <c r="U411" s="28"/>
      <c r="V411" s="25" t="s">
        <v>1105</v>
      </c>
      <c r="W411" s="52" t="s">
        <v>472</v>
      </c>
      <c r="X411" s="52" t="s">
        <v>83</v>
      </c>
      <c r="Y411" s="53">
        <v>0</v>
      </c>
      <c r="Z411" s="53">
        <v>510.61</v>
      </c>
      <c r="AA411" s="5">
        <v>0</v>
      </c>
    </row>
    <row r="412" spans="12:27" x14ac:dyDescent="0.25">
      <c r="L412" s="28"/>
      <c r="M412" s="28"/>
      <c r="N412" s="69"/>
      <c r="O412" s="28"/>
      <c r="P412" s="28"/>
      <c r="Q412" s="28"/>
      <c r="R412" s="85"/>
      <c r="S412" s="62"/>
      <c r="T412" s="28"/>
      <c r="U412" s="28"/>
      <c r="V412" s="25" t="s">
        <v>1106</v>
      </c>
      <c r="W412" s="52" t="s">
        <v>472</v>
      </c>
      <c r="X412" s="52" t="s">
        <v>83</v>
      </c>
      <c r="Y412" s="53">
        <v>0</v>
      </c>
      <c r="Z412" s="53">
        <v>38.46</v>
      </c>
      <c r="AA412" s="5">
        <v>0</v>
      </c>
    </row>
    <row r="413" spans="12:27" x14ac:dyDescent="0.25">
      <c r="L413" s="28"/>
      <c r="M413" s="28"/>
      <c r="N413" s="69"/>
      <c r="O413" s="28"/>
      <c r="P413" s="28"/>
      <c r="Q413" s="28"/>
      <c r="R413" s="85"/>
      <c r="S413" s="62"/>
      <c r="T413" s="28"/>
      <c r="U413" s="28"/>
      <c r="V413" s="25" t="s">
        <v>1107</v>
      </c>
      <c r="W413" s="52" t="s">
        <v>472</v>
      </c>
      <c r="X413" s="52" t="s">
        <v>83</v>
      </c>
      <c r="Y413" s="53">
        <v>0</v>
      </c>
      <c r="Z413" s="53">
        <v>281.75</v>
      </c>
      <c r="AA413" s="5">
        <v>0</v>
      </c>
    </row>
    <row r="414" spans="12:27" x14ac:dyDescent="0.25">
      <c r="L414" s="29"/>
      <c r="M414" s="29"/>
      <c r="N414" s="68"/>
      <c r="O414" s="29"/>
      <c r="P414" s="29"/>
      <c r="Q414" s="29"/>
      <c r="R414" s="63"/>
      <c r="S414" s="59"/>
      <c r="T414" s="29"/>
      <c r="U414" s="29"/>
      <c r="V414" s="25" t="s">
        <v>1108</v>
      </c>
      <c r="W414" s="52" t="s">
        <v>472</v>
      </c>
      <c r="X414" s="52" t="s">
        <v>83</v>
      </c>
      <c r="Y414" s="53">
        <v>0</v>
      </c>
      <c r="Z414" s="53">
        <v>134.63</v>
      </c>
      <c r="AA414" s="5">
        <v>0</v>
      </c>
    </row>
    <row r="415" spans="12:27" x14ac:dyDescent="0.25">
      <c r="L415" s="54" t="s">
        <v>193</v>
      </c>
      <c r="M415" s="55"/>
      <c r="N415" s="66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6">
        <v>0</v>
      </c>
      <c r="Z415" s="56">
        <v>73587.02</v>
      </c>
      <c r="AA415" s="57">
        <v>280.919999999997</v>
      </c>
    </row>
    <row r="416" spans="12:27" x14ac:dyDescent="0.25">
      <c r="L416" s="23" t="s">
        <v>39</v>
      </c>
      <c r="M416" s="23" t="s">
        <v>40</v>
      </c>
      <c r="N416" s="24">
        <v>45514</v>
      </c>
      <c r="O416" s="25" t="s">
        <v>111</v>
      </c>
      <c r="P416" s="25" t="s">
        <v>1109</v>
      </c>
      <c r="Q416" s="25" t="s">
        <v>113</v>
      </c>
      <c r="R416" s="60" t="s">
        <v>114</v>
      </c>
      <c r="S416" s="24">
        <v>45516</v>
      </c>
      <c r="T416" s="25" t="s">
        <v>83</v>
      </c>
      <c r="U416" s="25" t="s">
        <v>83</v>
      </c>
      <c r="V416" s="25" t="s">
        <v>579</v>
      </c>
      <c r="W416" s="52" t="s">
        <v>1110</v>
      </c>
      <c r="X416" s="52" t="s">
        <v>83</v>
      </c>
      <c r="Y416" s="53">
        <v>0</v>
      </c>
      <c r="Z416" s="53">
        <v>521.1</v>
      </c>
      <c r="AA416" s="5">
        <v>0</v>
      </c>
    </row>
    <row r="417" spans="12:27" x14ac:dyDescent="0.25">
      <c r="L417" s="28"/>
      <c r="M417" s="28"/>
      <c r="N417" s="24">
        <v>45516</v>
      </c>
      <c r="O417" s="25" t="s">
        <v>111</v>
      </c>
      <c r="P417" s="25" t="s">
        <v>1111</v>
      </c>
      <c r="Q417" s="25" t="s">
        <v>113</v>
      </c>
      <c r="R417" s="60" t="s">
        <v>114</v>
      </c>
      <c r="S417" s="24">
        <v>45516</v>
      </c>
      <c r="T417" s="25" t="s">
        <v>83</v>
      </c>
      <c r="U417" s="25" t="s">
        <v>83</v>
      </c>
      <c r="V417" s="25" t="s">
        <v>1112</v>
      </c>
      <c r="W417" s="52" t="s">
        <v>1113</v>
      </c>
      <c r="X417" s="52" t="s">
        <v>83</v>
      </c>
      <c r="Y417" s="53">
        <v>0</v>
      </c>
      <c r="Z417" s="53">
        <v>200</v>
      </c>
      <c r="AA417" s="5">
        <v>0</v>
      </c>
    </row>
    <row r="418" spans="12:27" x14ac:dyDescent="0.25">
      <c r="L418" s="28"/>
      <c r="M418" s="28"/>
      <c r="N418" s="24">
        <v>45536</v>
      </c>
      <c r="O418" s="25" t="s">
        <v>111</v>
      </c>
      <c r="P418" s="25" t="s">
        <v>1114</v>
      </c>
      <c r="Q418" s="25" t="s">
        <v>113</v>
      </c>
      <c r="R418" s="60" t="s">
        <v>114</v>
      </c>
      <c r="S418" s="24">
        <v>45538</v>
      </c>
      <c r="T418" s="25" t="s">
        <v>83</v>
      </c>
      <c r="U418" s="25" t="s">
        <v>83</v>
      </c>
      <c r="V418" s="25" t="s">
        <v>1115</v>
      </c>
      <c r="W418" s="52" t="s">
        <v>1116</v>
      </c>
      <c r="X418" s="52" t="s">
        <v>83</v>
      </c>
      <c r="Y418" s="53">
        <v>0</v>
      </c>
      <c r="Z418" s="53">
        <v>795.66</v>
      </c>
      <c r="AA418" s="5">
        <v>0</v>
      </c>
    </row>
    <row r="419" spans="12:27" x14ac:dyDescent="0.25">
      <c r="L419" s="28"/>
      <c r="M419" s="28"/>
      <c r="N419" s="24">
        <v>45601</v>
      </c>
      <c r="O419" s="25" t="s">
        <v>111</v>
      </c>
      <c r="P419" s="25" t="s">
        <v>1117</v>
      </c>
      <c r="Q419" s="25" t="s">
        <v>113</v>
      </c>
      <c r="R419" s="60" t="s">
        <v>114</v>
      </c>
      <c r="S419" s="24">
        <v>45601</v>
      </c>
      <c r="T419" s="25" t="s">
        <v>83</v>
      </c>
      <c r="U419" s="25" t="s">
        <v>83</v>
      </c>
      <c r="V419" s="25" t="s">
        <v>143</v>
      </c>
      <c r="W419" s="52" t="s">
        <v>1118</v>
      </c>
      <c r="X419" s="52" t="s">
        <v>83</v>
      </c>
      <c r="Y419" s="53">
        <v>0</v>
      </c>
      <c r="Z419" s="53">
        <v>-49.62</v>
      </c>
      <c r="AA419" s="5">
        <v>0</v>
      </c>
    </row>
    <row r="420" spans="12:27" x14ac:dyDescent="0.25">
      <c r="L420" s="28"/>
      <c r="M420" s="28"/>
      <c r="N420" s="67">
        <v>45678</v>
      </c>
      <c r="O420" s="23" t="s">
        <v>111</v>
      </c>
      <c r="P420" s="25" t="s">
        <v>1119</v>
      </c>
      <c r="Q420" s="25" t="s">
        <v>113</v>
      </c>
      <c r="R420" s="60" t="s">
        <v>114</v>
      </c>
      <c r="S420" s="24">
        <v>45678</v>
      </c>
      <c r="T420" s="25" t="s">
        <v>83</v>
      </c>
      <c r="U420" s="25" t="s">
        <v>83</v>
      </c>
      <c r="V420" s="25" t="s">
        <v>1120</v>
      </c>
      <c r="W420" s="52" t="s">
        <v>1121</v>
      </c>
      <c r="X420" s="52" t="s">
        <v>83</v>
      </c>
      <c r="Y420" s="53">
        <v>0</v>
      </c>
      <c r="Z420" s="53">
        <v>58.86</v>
      </c>
      <c r="AA420" s="5">
        <v>0</v>
      </c>
    </row>
    <row r="421" spans="12:27" x14ac:dyDescent="0.25">
      <c r="L421" s="28"/>
      <c r="M421" s="28"/>
      <c r="N421" s="69"/>
      <c r="O421" s="28"/>
      <c r="P421" s="25" t="s">
        <v>1122</v>
      </c>
      <c r="Q421" s="25" t="s">
        <v>113</v>
      </c>
      <c r="R421" s="60" t="s">
        <v>114</v>
      </c>
      <c r="S421" s="24">
        <v>45678</v>
      </c>
      <c r="T421" s="25" t="s">
        <v>83</v>
      </c>
      <c r="U421" s="25" t="s">
        <v>83</v>
      </c>
      <c r="V421" s="25" t="s">
        <v>1123</v>
      </c>
      <c r="W421" s="52" t="s">
        <v>1124</v>
      </c>
      <c r="X421" s="52" t="s">
        <v>83</v>
      </c>
      <c r="Y421" s="53">
        <v>0</v>
      </c>
      <c r="Z421" s="53">
        <v>72.27</v>
      </c>
      <c r="AA421" s="5">
        <v>0</v>
      </c>
    </row>
    <row r="422" spans="12:27" x14ac:dyDescent="0.25">
      <c r="L422" s="28"/>
      <c r="M422" s="28"/>
      <c r="N422" s="68"/>
      <c r="O422" s="29"/>
      <c r="P422" s="25" t="s">
        <v>1125</v>
      </c>
      <c r="Q422" s="25" t="s">
        <v>113</v>
      </c>
      <c r="R422" s="60" t="s">
        <v>114</v>
      </c>
      <c r="S422" s="24">
        <v>45678</v>
      </c>
      <c r="T422" s="25" t="s">
        <v>83</v>
      </c>
      <c r="U422" s="25" t="s">
        <v>83</v>
      </c>
      <c r="V422" s="25" t="s">
        <v>1126</v>
      </c>
      <c r="W422" s="52" t="s">
        <v>1127</v>
      </c>
      <c r="X422" s="52" t="s">
        <v>83</v>
      </c>
      <c r="Y422" s="53">
        <v>0</v>
      </c>
      <c r="Z422" s="53">
        <v>95.62</v>
      </c>
      <c r="AA422" s="5">
        <v>0</v>
      </c>
    </row>
    <row r="423" spans="12:27" x14ac:dyDescent="0.25">
      <c r="L423" s="28"/>
      <c r="M423" s="28"/>
      <c r="N423" s="24">
        <v>45695</v>
      </c>
      <c r="O423" s="25" t="s">
        <v>111</v>
      </c>
      <c r="P423" s="25" t="s">
        <v>1128</v>
      </c>
      <c r="Q423" s="25" t="s">
        <v>113</v>
      </c>
      <c r="R423" s="60" t="s">
        <v>114</v>
      </c>
      <c r="S423" s="24">
        <v>45695</v>
      </c>
      <c r="T423" s="25" t="s">
        <v>83</v>
      </c>
      <c r="U423" s="25" t="s">
        <v>83</v>
      </c>
      <c r="V423" s="25" t="s">
        <v>1129</v>
      </c>
      <c r="W423" s="52" t="s">
        <v>1130</v>
      </c>
      <c r="X423" s="52" t="s">
        <v>83</v>
      </c>
      <c r="Y423" s="53">
        <v>0</v>
      </c>
      <c r="Z423" s="53">
        <v>1448.68</v>
      </c>
      <c r="AA423" s="5">
        <v>0</v>
      </c>
    </row>
    <row r="424" spans="12:27" x14ac:dyDescent="0.25">
      <c r="L424" s="28"/>
      <c r="M424" s="28"/>
      <c r="N424" s="24">
        <v>45706</v>
      </c>
      <c r="O424" s="25" t="s">
        <v>111</v>
      </c>
      <c r="P424" s="25" t="s">
        <v>1131</v>
      </c>
      <c r="Q424" s="25" t="s">
        <v>113</v>
      </c>
      <c r="R424" s="60" t="s">
        <v>114</v>
      </c>
      <c r="S424" s="24">
        <v>45706</v>
      </c>
      <c r="T424" s="25" t="s">
        <v>83</v>
      </c>
      <c r="U424" s="25" t="s">
        <v>83</v>
      </c>
      <c r="V424" s="25" t="s">
        <v>1132</v>
      </c>
      <c r="W424" s="52" t="s">
        <v>1133</v>
      </c>
      <c r="X424" s="52" t="s">
        <v>83</v>
      </c>
      <c r="Y424" s="53">
        <v>0</v>
      </c>
      <c r="Z424" s="53">
        <v>387.06</v>
      </c>
      <c r="AA424" s="5">
        <v>0</v>
      </c>
    </row>
    <row r="425" spans="12:27" x14ac:dyDescent="0.25">
      <c r="L425" s="28"/>
      <c r="M425" s="28"/>
      <c r="N425" s="67">
        <v>45799</v>
      </c>
      <c r="O425" s="23" t="s">
        <v>111</v>
      </c>
      <c r="P425" s="25" t="s">
        <v>1134</v>
      </c>
      <c r="Q425" s="25" t="s">
        <v>113</v>
      </c>
      <c r="R425" s="60" t="s">
        <v>114</v>
      </c>
      <c r="S425" s="24">
        <v>45799</v>
      </c>
      <c r="T425" s="25" t="s">
        <v>83</v>
      </c>
      <c r="U425" s="25" t="s">
        <v>83</v>
      </c>
      <c r="V425" s="25" t="s">
        <v>1135</v>
      </c>
      <c r="W425" s="52" t="s">
        <v>1136</v>
      </c>
      <c r="X425" s="52" t="s">
        <v>83</v>
      </c>
      <c r="Y425" s="53">
        <v>0</v>
      </c>
      <c r="Z425" s="53">
        <v>137.46</v>
      </c>
      <c r="AA425" s="5">
        <v>0</v>
      </c>
    </row>
    <row r="426" spans="12:27" x14ac:dyDescent="0.25">
      <c r="L426" s="28"/>
      <c r="M426" s="28"/>
      <c r="N426" s="68"/>
      <c r="O426" s="29"/>
      <c r="P426" s="25" t="s">
        <v>1137</v>
      </c>
      <c r="Q426" s="25" t="s">
        <v>113</v>
      </c>
      <c r="R426" s="60" t="s">
        <v>114</v>
      </c>
      <c r="S426" s="24">
        <v>45799</v>
      </c>
      <c r="T426" s="25" t="s">
        <v>83</v>
      </c>
      <c r="U426" s="25" t="s">
        <v>83</v>
      </c>
      <c r="V426" s="25" t="s">
        <v>1138</v>
      </c>
      <c r="W426" s="52" t="s">
        <v>1139</v>
      </c>
      <c r="X426" s="52" t="s">
        <v>83</v>
      </c>
      <c r="Y426" s="53">
        <v>0</v>
      </c>
      <c r="Z426" s="53">
        <v>364.05</v>
      </c>
      <c r="AA426" s="5">
        <v>0</v>
      </c>
    </row>
    <row r="427" spans="12:27" x14ac:dyDescent="0.25">
      <c r="L427" s="29"/>
      <c r="M427" s="29"/>
      <c r="N427" s="24">
        <v>45849</v>
      </c>
      <c r="O427" s="25" t="s">
        <v>469</v>
      </c>
      <c r="P427" s="25" t="s">
        <v>470</v>
      </c>
      <c r="Q427" s="25" t="s">
        <v>113</v>
      </c>
      <c r="R427" s="60" t="s">
        <v>114</v>
      </c>
      <c r="S427" s="24">
        <v>45849</v>
      </c>
      <c r="T427" s="25" t="s">
        <v>83</v>
      </c>
      <c r="U427" s="25" t="s">
        <v>83</v>
      </c>
      <c r="V427" s="25" t="s">
        <v>1140</v>
      </c>
      <c r="W427" s="52" t="s">
        <v>472</v>
      </c>
      <c r="X427" s="52" t="s">
        <v>83</v>
      </c>
      <c r="Y427" s="53">
        <v>0</v>
      </c>
      <c r="Z427" s="53">
        <v>67.55</v>
      </c>
      <c r="AA427" s="5">
        <v>0</v>
      </c>
    </row>
    <row r="428" spans="12:27" x14ac:dyDescent="0.25">
      <c r="L428" s="54" t="s">
        <v>227</v>
      </c>
      <c r="M428" s="55"/>
      <c r="N428" s="66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6">
        <v>0</v>
      </c>
      <c r="Z428" s="56">
        <v>4098.6899999999996</v>
      </c>
      <c r="AA428" s="57">
        <v>0</v>
      </c>
    </row>
    <row r="429" spans="12:27" x14ac:dyDescent="0.25">
      <c r="L429" s="23" t="s">
        <v>41</v>
      </c>
      <c r="M429" s="23" t="s">
        <v>42</v>
      </c>
      <c r="N429" s="24">
        <v>45729</v>
      </c>
      <c r="O429" s="25" t="s">
        <v>111</v>
      </c>
      <c r="P429" s="25" t="s">
        <v>1141</v>
      </c>
      <c r="Q429" s="25" t="s">
        <v>113</v>
      </c>
      <c r="R429" s="60" t="s">
        <v>114</v>
      </c>
      <c r="S429" s="24">
        <v>45729</v>
      </c>
      <c r="T429" s="25" t="s">
        <v>83</v>
      </c>
      <c r="U429" s="25" t="s">
        <v>83</v>
      </c>
      <c r="V429" s="25" t="s">
        <v>1142</v>
      </c>
      <c r="W429" s="52" t="s">
        <v>1143</v>
      </c>
      <c r="X429" s="52" t="s">
        <v>83</v>
      </c>
      <c r="Y429" s="53">
        <v>0</v>
      </c>
      <c r="Z429" s="53">
        <v>419</v>
      </c>
      <c r="AA429" s="5">
        <v>0</v>
      </c>
    </row>
    <row r="430" spans="12:27" x14ac:dyDescent="0.25">
      <c r="L430" s="29"/>
      <c r="M430" s="29"/>
      <c r="N430" s="24">
        <v>45849</v>
      </c>
      <c r="O430" s="25" t="s">
        <v>469</v>
      </c>
      <c r="P430" s="25" t="s">
        <v>470</v>
      </c>
      <c r="Q430" s="25" t="s">
        <v>113</v>
      </c>
      <c r="R430" s="60" t="s">
        <v>114</v>
      </c>
      <c r="S430" s="24">
        <v>45849</v>
      </c>
      <c r="T430" s="25" t="s">
        <v>83</v>
      </c>
      <c r="U430" s="25" t="s">
        <v>83</v>
      </c>
      <c r="V430" s="25" t="s">
        <v>1144</v>
      </c>
      <c r="W430" s="52" t="s">
        <v>472</v>
      </c>
      <c r="X430" s="52" t="s">
        <v>83</v>
      </c>
      <c r="Y430" s="53">
        <v>0</v>
      </c>
      <c r="Z430" s="53">
        <v>625</v>
      </c>
      <c r="AA430" s="5">
        <v>0</v>
      </c>
    </row>
    <row r="431" spans="12:27" x14ac:dyDescent="0.25">
      <c r="L431" s="54" t="s">
        <v>236</v>
      </c>
      <c r="M431" s="55"/>
      <c r="N431" s="66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6">
        <v>0</v>
      </c>
      <c r="Z431" s="56">
        <v>1044</v>
      </c>
      <c r="AA431" s="57">
        <v>0</v>
      </c>
    </row>
    <row r="432" spans="12:27" x14ac:dyDescent="0.25">
      <c r="L432" s="23" t="s">
        <v>43</v>
      </c>
      <c r="M432" s="23" t="s">
        <v>44</v>
      </c>
      <c r="N432" s="67">
        <v>45514</v>
      </c>
      <c r="O432" s="23" t="s">
        <v>111</v>
      </c>
      <c r="P432" s="25" t="s">
        <v>616</v>
      </c>
      <c r="Q432" s="25" t="s">
        <v>113</v>
      </c>
      <c r="R432" s="60" t="s">
        <v>114</v>
      </c>
      <c r="S432" s="24">
        <v>45516</v>
      </c>
      <c r="T432" s="25" t="s">
        <v>83</v>
      </c>
      <c r="U432" s="25" t="s">
        <v>83</v>
      </c>
      <c r="V432" s="25" t="s">
        <v>1145</v>
      </c>
      <c r="W432" s="52" t="s">
        <v>617</v>
      </c>
      <c r="X432" s="52" t="s">
        <v>83</v>
      </c>
      <c r="Y432" s="53">
        <v>0</v>
      </c>
      <c r="Z432" s="53">
        <v>24.91</v>
      </c>
      <c r="AA432" s="5">
        <v>0</v>
      </c>
    </row>
    <row r="433" spans="12:27" x14ac:dyDescent="0.25">
      <c r="L433" s="28"/>
      <c r="M433" s="28"/>
      <c r="N433" s="68"/>
      <c r="O433" s="29"/>
      <c r="P433" s="25" t="s">
        <v>1109</v>
      </c>
      <c r="Q433" s="25" t="s">
        <v>113</v>
      </c>
      <c r="R433" s="60" t="s">
        <v>114</v>
      </c>
      <c r="S433" s="24">
        <v>45516</v>
      </c>
      <c r="T433" s="25" t="s">
        <v>83</v>
      </c>
      <c r="U433" s="25" t="s">
        <v>83</v>
      </c>
      <c r="V433" s="25" t="s">
        <v>1145</v>
      </c>
      <c r="W433" s="52" t="s">
        <v>1110</v>
      </c>
      <c r="X433" s="52" t="s">
        <v>83</v>
      </c>
      <c r="Y433" s="53">
        <v>0</v>
      </c>
      <c r="Z433" s="53">
        <v>5.21</v>
      </c>
      <c r="AA433" s="5">
        <v>0</v>
      </c>
    </row>
    <row r="434" spans="12:27" x14ac:dyDescent="0.25">
      <c r="L434" s="28"/>
      <c r="M434" s="28"/>
      <c r="N434" s="24">
        <v>45534</v>
      </c>
      <c r="O434" s="25" t="s">
        <v>111</v>
      </c>
      <c r="P434" s="25" t="s">
        <v>713</v>
      </c>
      <c r="Q434" s="25" t="s">
        <v>113</v>
      </c>
      <c r="R434" s="60" t="s">
        <v>114</v>
      </c>
      <c r="S434" s="24">
        <v>45534</v>
      </c>
      <c r="T434" s="25" t="s">
        <v>83</v>
      </c>
      <c r="U434" s="25" t="s">
        <v>83</v>
      </c>
      <c r="V434" s="25" t="s">
        <v>1146</v>
      </c>
      <c r="W434" s="52" t="s">
        <v>715</v>
      </c>
      <c r="X434" s="52" t="s">
        <v>83</v>
      </c>
      <c r="Y434" s="53">
        <v>0</v>
      </c>
      <c r="Z434" s="53">
        <v>42.93</v>
      </c>
      <c r="AA434" s="5">
        <v>0</v>
      </c>
    </row>
    <row r="435" spans="12:27" x14ac:dyDescent="0.25">
      <c r="L435" s="28"/>
      <c r="M435" s="28"/>
      <c r="N435" s="24">
        <v>45618</v>
      </c>
      <c r="O435" s="25" t="s">
        <v>111</v>
      </c>
      <c r="P435" s="25" t="s">
        <v>962</v>
      </c>
      <c r="Q435" s="25" t="s">
        <v>113</v>
      </c>
      <c r="R435" s="60" t="s">
        <v>114</v>
      </c>
      <c r="S435" s="24">
        <v>45618</v>
      </c>
      <c r="T435" s="25" t="s">
        <v>83</v>
      </c>
      <c r="U435" s="25" t="s">
        <v>83</v>
      </c>
      <c r="V435" s="25" t="s">
        <v>1147</v>
      </c>
      <c r="W435" s="52" t="s">
        <v>964</v>
      </c>
      <c r="X435" s="52" t="s">
        <v>83</v>
      </c>
      <c r="Y435" s="53">
        <v>0</v>
      </c>
      <c r="Z435" s="53">
        <v>1.95</v>
      </c>
      <c r="AA435" s="5">
        <v>0</v>
      </c>
    </row>
    <row r="436" spans="12:27" x14ac:dyDescent="0.25">
      <c r="L436" s="29"/>
      <c r="M436" s="29"/>
      <c r="N436" s="24">
        <v>45849</v>
      </c>
      <c r="O436" s="25" t="s">
        <v>469</v>
      </c>
      <c r="P436" s="25" t="s">
        <v>470</v>
      </c>
      <c r="Q436" s="25" t="s">
        <v>113</v>
      </c>
      <c r="R436" s="60" t="s">
        <v>114</v>
      </c>
      <c r="S436" s="24">
        <v>45849</v>
      </c>
      <c r="T436" s="25" t="s">
        <v>83</v>
      </c>
      <c r="U436" s="25" t="s">
        <v>83</v>
      </c>
      <c r="V436" s="25" t="s">
        <v>1148</v>
      </c>
      <c r="W436" s="52" t="s">
        <v>472</v>
      </c>
      <c r="X436" s="52" t="s">
        <v>83</v>
      </c>
      <c r="Y436" s="53">
        <v>0</v>
      </c>
      <c r="Z436" s="53">
        <v>1.99</v>
      </c>
      <c r="AA436" s="5">
        <v>0</v>
      </c>
    </row>
    <row r="437" spans="12:27" x14ac:dyDescent="0.25">
      <c r="L437" s="54" t="s">
        <v>240</v>
      </c>
      <c r="M437" s="55"/>
      <c r="N437" s="66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6">
        <v>0</v>
      </c>
      <c r="Z437" s="56">
        <v>76.989999999999995</v>
      </c>
      <c r="AA437" s="57">
        <v>0</v>
      </c>
    </row>
    <row r="438" spans="12:27" x14ac:dyDescent="0.25">
      <c r="L438" s="23" t="s">
        <v>392</v>
      </c>
      <c r="M438" s="23" t="s">
        <v>393</v>
      </c>
      <c r="N438" s="67">
        <v>45501</v>
      </c>
      <c r="O438" s="23" t="s">
        <v>111</v>
      </c>
      <c r="P438" s="25" t="s">
        <v>1149</v>
      </c>
      <c r="Q438" s="25" t="s">
        <v>113</v>
      </c>
      <c r="R438" s="60" t="s">
        <v>114</v>
      </c>
      <c r="S438" s="24">
        <v>45502</v>
      </c>
      <c r="T438" s="25" t="s">
        <v>83</v>
      </c>
      <c r="U438" s="25" t="s">
        <v>83</v>
      </c>
      <c r="V438" s="25" t="s">
        <v>1150</v>
      </c>
      <c r="W438" s="52" t="s">
        <v>1151</v>
      </c>
      <c r="X438" s="52" t="s">
        <v>83</v>
      </c>
      <c r="Y438" s="53">
        <v>0</v>
      </c>
      <c r="Z438" s="53">
        <v>200</v>
      </c>
      <c r="AA438" s="5">
        <v>0</v>
      </c>
    </row>
    <row r="439" spans="12:27" x14ac:dyDescent="0.25">
      <c r="L439" s="29"/>
      <c r="M439" s="29"/>
      <c r="N439" s="68"/>
      <c r="O439" s="29"/>
      <c r="P439" s="25" t="s">
        <v>1152</v>
      </c>
      <c r="Q439" s="25" t="s">
        <v>113</v>
      </c>
      <c r="R439" s="60" t="s">
        <v>114</v>
      </c>
      <c r="S439" s="24">
        <v>45502</v>
      </c>
      <c r="T439" s="25" t="s">
        <v>83</v>
      </c>
      <c r="U439" s="25" t="s">
        <v>83</v>
      </c>
      <c r="V439" s="25" t="s">
        <v>1153</v>
      </c>
      <c r="W439" s="52" t="s">
        <v>1154</v>
      </c>
      <c r="X439" s="52" t="s">
        <v>83</v>
      </c>
      <c r="Y439" s="53">
        <v>0</v>
      </c>
      <c r="Z439" s="53">
        <v>65</v>
      </c>
      <c r="AA439" s="5">
        <v>0</v>
      </c>
    </row>
    <row r="440" spans="12:27" x14ac:dyDescent="0.25">
      <c r="L440" s="54" t="s">
        <v>1155</v>
      </c>
      <c r="M440" s="55"/>
      <c r="N440" s="66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6">
        <v>0</v>
      </c>
      <c r="Z440" s="56">
        <v>265</v>
      </c>
      <c r="AA440" s="57">
        <v>0</v>
      </c>
    </row>
    <row r="441" spans="12:27" x14ac:dyDescent="0.25">
      <c r="L441" s="23" t="s">
        <v>45</v>
      </c>
      <c r="M441" s="23" t="s">
        <v>46</v>
      </c>
      <c r="N441" s="24">
        <v>45514</v>
      </c>
      <c r="O441" s="25" t="s">
        <v>111</v>
      </c>
      <c r="P441" s="25" t="s">
        <v>616</v>
      </c>
      <c r="Q441" s="25" t="s">
        <v>113</v>
      </c>
      <c r="R441" s="60" t="s">
        <v>114</v>
      </c>
      <c r="S441" s="24">
        <v>45516</v>
      </c>
      <c r="T441" s="25" t="s">
        <v>83</v>
      </c>
      <c r="U441" s="25" t="s">
        <v>83</v>
      </c>
      <c r="V441" s="25" t="s">
        <v>1156</v>
      </c>
      <c r="W441" s="52" t="s">
        <v>617</v>
      </c>
      <c r="X441" s="52" t="s">
        <v>83</v>
      </c>
      <c r="Y441" s="53">
        <v>0</v>
      </c>
      <c r="Z441" s="53">
        <v>63</v>
      </c>
      <c r="AA441" s="5">
        <v>0</v>
      </c>
    </row>
    <row r="442" spans="12:27" x14ac:dyDescent="0.25">
      <c r="L442" s="28"/>
      <c r="M442" s="28"/>
      <c r="N442" s="24">
        <v>45534</v>
      </c>
      <c r="O442" s="25" t="s">
        <v>111</v>
      </c>
      <c r="P442" s="25" t="s">
        <v>713</v>
      </c>
      <c r="Q442" s="25" t="s">
        <v>113</v>
      </c>
      <c r="R442" s="60" t="s">
        <v>114</v>
      </c>
      <c r="S442" s="24">
        <v>45534</v>
      </c>
      <c r="T442" s="25" t="s">
        <v>83</v>
      </c>
      <c r="U442" s="25" t="s">
        <v>83</v>
      </c>
      <c r="V442" s="25" t="s">
        <v>1157</v>
      </c>
      <c r="W442" s="52" t="s">
        <v>715</v>
      </c>
      <c r="X442" s="52" t="s">
        <v>83</v>
      </c>
      <c r="Y442" s="53">
        <v>0</v>
      </c>
      <c r="Z442" s="53">
        <v>254.48</v>
      </c>
      <c r="AA442" s="5">
        <v>0</v>
      </c>
    </row>
    <row r="443" spans="12:27" x14ac:dyDescent="0.25">
      <c r="L443" s="28"/>
      <c r="M443" s="28"/>
      <c r="N443" s="67">
        <v>45618</v>
      </c>
      <c r="O443" s="23" t="s">
        <v>111</v>
      </c>
      <c r="P443" s="25" t="s">
        <v>962</v>
      </c>
      <c r="Q443" s="25" t="s">
        <v>113</v>
      </c>
      <c r="R443" s="60" t="s">
        <v>114</v>
      </c>
      <c r="S443" s="24">
        <v>45618</v>
      </c>
      <c r="T443" s="25" t="s">
        <v>83</v>
      </c>
      <c r="U443" s="25" t="s">
        <v>83</v>
      </c>
      <c r="V443" s="25" t="s">
        <v>1158</v>
      </c>
      <c r="W443" s="52" t="s">
        <v>964</v>
      </c>
      <c r="X443" s="52" t="s">
        <v>83</v>
      </c>
      <c r="Y443" s="53">
        <v>0</v>
      </c>
      <c r="Z443" s="53">
        <v>50</v>
      </c>
      <c r="AA443" s="5">
        <v>0</v>
      </c>
    </row>
    <row r="444" spans="12:27" x14ac:dyDescent="0.25">
      <c r="L444" s="28"/>
      <c r="M444" s="28"/>
      <c r="N444" s="68"/>
      <c r="O444" s="29"/>
      <c r="P444" s="25" t="s">
        <v>966</v>
      </c>
      <c r="Q444" s="25" t="s">
        <v>113</v>
      </c>
      <c r="R444" s="60" t="s">
        <v>114</v>
      </c>
      <c r="S444" s="24">
        <v>45618</v>
      </c>
      <c r="T444" s="25" t="s">
        <v>83</v>
      </c>
      <c r="U444" s="25" t="s">
        <v>83</v>
      </c>
      <c r="V444" s="25" t="s">
        <v>1159</v>
      </c>
      <c r="W444" s="52" t="s">
        <v>968</v>
      </c>
      <c r="X444" s="52" t="s">
        <v>83</v>
      </c>
      <c r="Y444" s="53">
        <v>0</v>
      </c>
      <c r="Z444" s="53">
        <v>45</v>
      </c>
      <c r="AA444" s="5">
        <v>0</v>
      </c>
    </row>
    <row r="445" spans="12:27" x14ac:dyDescent="0.25">
      <c r="L445" s="28"/>
      <c r="M445" s="28"/>
      <c r="N445" s="67">
        <v>45649</v>
      </c>
      <c r="O445" s="23" t="s">
        <v>111</v>
      </c>
      <c r="P445" s="25" t="s">
        <v>998</v>
      </c>
      <c r="Q445" s="25" t="s">
        <v>113</v>
      </c>
      <c r="R445" s="60" t="s">
        <v>114</v>
      </c>
      <c r="S445" s="24">
        <v>45649</v>
      </c>
      <c r="T445" s="25" t="s">
        <v>83</v>
      </c>
      <c r="U445" s="25" t="s">
        <v>83</v>
      </c>
      <c r="V445" s="25" t="s">
        <v>1160</v>
      </c>
      <c r="W445" s="52" t="s">
        <v>1000</v>
      </c>
      <c r="X445" s="52" t="s">
        <v>83</v>
      </c>
      <c r="Y445" s="53">
        <v>0</v>
      </c>
      <c r="Z445" s="53">
        <v>4.99</v>
      </c>
      <c r="AA445" s="5">
        <v>0</v>
      </c>
    </row>
    <row r="446" spans="12:27" x14ac:dyDescent="0.25">
      <c r="L446" s="28"/>
      <c r="M446" s="28"/>
      <c r="N446" s="69"/>
      <c r="O446" s="28"/>
      <c r="P446" s="25" t="s">
        <v>1001</v>
      </c>
      <c r="Q446" s="25" t="s">
        <v>113</v>
      </c>
      <c r="R446" s="60" t="s">
        <v>114</v>
      </c>
      <c r="S446" s="24">
        <v>45649</v>
      </c>
      <c r="T446" s="25" t="s">
        <v>83</v>
      </c>
      <c r="U446" s="25" t="s">
        <v>83</v>
      </c>
      <c r="V446" s="25" t="s">
        <v>1161</v>
      </c>
      <c r="W446" s="52" t="s">
        <v>1003</v>
      </c>
      <c r="X446" s="52" t="s">
        <v>83</v>
      </c>
      <c r="Y446" s="53">
        <v>0</v>
      </c>
      <c r="Z446" s="53">
        <v>4.99</v>
      </c>
      <c r="AA446" s="5">
        <v>0</v>
      </c>
    </row>
    <row r="447" spans="12:27" x14ac:dyDescent="0.25">
      <c r="L447" s="28"/>
      <c r="M447" s="28"/>
      <c r="N447" s="68"/>
      <c r="O447" s="29"/>
      <c r="P447" s="25" t="s">
        <v>1004</v>
      </c>
      <c r="Q447" s="25" t="s">
        <v>113</v>
      </c>
      <c r="R447" s="60" t="s">
        <v>114</v>
      </c>
      <c r="S447" s="24">
        <v>45649</v>
      </c>
      <c r="T447" s="25" t="s">
        <v>83</v>
      </c>
      <c r="U447" s="25" t="s">
        <v>83</v>
      </c>
      <c r="V447" s="25" t="s">
        <v>1162</v>
      </c>
      <c r="W447" s="52" t="s">
        <v>1006</v>
      </c>
      <c r="X447" s="52" t="s">
        <v>83</v>
      </c>
      <c r="Y447" s="53">
        <v>0</v>
      </c>
      <c r="Z447" s="53">
        <v>5.45</v>
      </c>
      <c r="AA447" s="5">
        <v>0</v>
      </c>
    </row>
    <row r="448" spans="12:27" x14ac:dyDescent="0.25">
      <c r="L448" s="28"/>
      <c r="M448" s="28"/>
      <c r="N448" s="24">
        <v>45678</v>
      </c>
      <c r="O448" s="25" t="s">
        <v>111</v>
      </c>
      <c r="P448" s="25" t="s">
        <v>516</v>
      </c>
      <c r="Q448" s="25" t="s">
        <v>113</v>
      </c>
      <c r="R448" s="60" t="s">
        <v>114</v>
      </c>
      <c r="S448" s="24">
        <v>45678</v>
      </c>
      <c r="T448" s="25" t="s">
        <v>83</v>
      </c>
      <c r="U448" s="25" t="s">
        <v>83</v>
      </c>
      <c r="V448" s="25" t="s">
        <v>1163</v>
      </c>
      <c r="W448" s="52" t="s">
        <v>518</v>
      </c>
      <c r="X448" s="52" t="s">
        <v>83</v>
      </c>
      <c r="Y448" s="53">
        <v>0</v>
      </c>
      <c r="Z448" s="53">
        <v>2.04</v>
      </c>
      <c r="AA448" s="5">
        <v>0</v>
      </c>
    </row>
    <row r="449" spans="12:27" x14ac:dyDescent="0.25">
      <c r="L449" s="29"/>
      <c r="M449" s="29"/>
      <c r="N449" s="24">
        <v>45849</v>
      </c>
      <c r="O449" s="25" t="s">
        <v>469</v>
      </c>
      <c r="P449" s="25" t="s">
        <v>470</v>
      </c>
      <c r="Q449" s="25" t="s">
        <v>113</v>
      </c>
      <c r="R449" s="60" t="s">
        <v>114</v>
      </c>
      <c r="S449" s="24">
        <v>45849</v>
      </c>
      <c r="T449" s="25" t="s">
        <v>83</v>
      </c>
      <c r="U449" s="25" t="s">
        <v>83</v>
      </c>
      <c r="V449" s="25" t="s">
        <v>1107</v>
      </c>
      <c r="W449" s="52" t="s">
        <v>472</v>
      </c>
      <c r="X449" s="52" t="s">
        <v>83</v>
      </c>
      <c r="Y449" s="53">
        <v>0</v>
      </c>
      <c r="Z449" s="53">
        <v>4.99</v>
      </c>
      <c r="AA449" s="5">
        <v>0</v>
      </c>
    </row>
    <row r="450" spans="12:27" x14ac:dyDescent="0.25">
      <c r="L450" s="54" t="s">
        <v>256</v>
      </c>
      <c r="M450" s="55"/>
      <c r="N450" s="66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6">
        <v>0</v>
      </c>
      <c r="Z450" s="56">
        <v>434.94</v>
      </c>
      <c r="AA450" s="57">
        <v>0</v>
      </c>
    </row>
    <row r="451" spans="12:27" x14ac:dyDescent="0.25">
      <c r="L451" s="23" t="s">
        <v>394</v>
      </c>
      <c r="M451" s="23" t="s">
        <v>395</v>
      </c>
      <c r="N451" s="67">
        <v>45706</v>
      </c>
      <c r="O451" s="23" t="s">
        <v>111</v>
      </c>
      <c r="P451" s="23" t="s">
        <v>1164</v>
      </c>
      <c r="Q451" s="23" t="s">
        <v>113</v>
      </c>
      <c r="R451" s="61" t="s">
        <v>114</v>
      </c>
      <c r="S451" s="58">
        <v>45706</v>
      </c>
      <c r="T451" s="23" t="s">
        <v>83</v>
      </c>
      <c r="U451" s="23" t="s">
        <v>83</v>
      </c>
      <c r="V451" s="25" t="s">
        <v>1165</v>
      </c>
      <c r="W451" s="52" t="s">
        <v>1166</v>
      </c>
      <c r="X451" s="52" t="s">
        <v>83</v>
      </c>
      <c r="Y451" s="53">
        <v>0</v>
      </c>
      <c r="Z451" s="53">
        <v>15.6</v>
      </c>
      <c r="AA451" s="5">
        <v>0</v>
      </c>
    </row>
    <row r="452" spans="12:27" x14ac:dyDescent="0.25">
      <c r="L452" s="29"/>
      <c r="M452" s="29"/>
      <c r="N452" s="68"/>
      <c r="O452" s="29"/>
      <c r="P452" s="29"/>
      <c r="Q452" s="29"/>
      <c r="R452" s="63"/>
      <c r="S452" s="59"/>
      <c r="T452" s="29"/>
      <c r="U452" s="29"/>
      <c r="V452" s="25" t="s">
        <v>1167</v>
      </c>
      <c r="W452" s="52" t="s">
        <v>1166</v>
      </c>
      <c r="X452" s="52" t="s">
        <v>83</v>
      </c>
      <c r="Y452" s="53">
        <v>0</v>
      </c>
      <c r="Z452" s="53">
        <v>0.87</v>
      </c>
      <c r="AA452" s="5">
        <v>0</v>
      </c>
    </row>
    <row r="453" spans="12:27" x14ac:dyDescent="0.25">
      <c r="L453" s="54" t="s">
        <v>1168</v>
      </c>
      <c r="M453" s="55"/>
      <c r="N453" s="66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6">
        <v>0</v>
      </c>
      <c r="Z453" s="56">
        <v>16.47</v>
      </c>
      <c r="AA453" s="57">
        <v>0</v>
      </c>
    </row>
    <row r="454" spans="12:27" x14ac:dyDescent="0.25">
      <c r="L454" s="23" t="s">
        <v>47</v>
      </c>
      <c r="M454" s="23" t="s">
        <v>48</v>
      </c>
      <c r="N454" s="24">
        <v>45589</v>
      </c>
      <c r="O454" s="25" t="s">
        <v>111</v>
      </c>
      <c r="P454" s="25" t="s">
        <v>1169</v>
      </c>
      <c r="Q454" s="25" t="s">
        <v>113</v>
      </c>
      <c r="R454" s="60" t="s">
        <v>114</v>
      </c>
      <c r="S454" s="24">
        <v>45589</v>
      </c>
      <c r="T454" s="25" t="s">
        <v>83</v>
      </c>
      <c r="U454" s="25" t="s">
        <v>83</v>
      </c>
      <c r="V454" s="25" t="s">
        <v>1170</v>
      </c>
      <c r="W454" s="52" t="s">
        <v>1171</v>
      </c>
      <c r="X454" s="52" t="s">
        <v>83</v>
      </c>
      <c r="Y454" s="53">
        <v>0</v>
      </c>
      <c r="Z454" s="53">
        <v>421.75</v>
      </c>
      <c r="AA454" s="5">
        <v>0</v>
      </c>
    </row>
    <row r="455" spans="12:27" x14ac:dyDescent="0.25">
      <c r="L455" s="28"/>
      <c r="M455" s="28"/>
      <c r="N455" s="67">
        <v>45634</v>
      </c>
      <c r="O455" s="23" t="s">
        <v>111</v>
      </c>
      <c r="P455" s="25" t="s">
        <v>1172</v>
      </c>
      <c r="Q455" s="25" t="s">
        <v>113</v>
      </c>
      <c r="R455" s="60" t="s">
        <v>114</v>
      </c>
      <c r="S455" s="24">
        <v>45635</v>
      </c>
      <c r="T455" s="25" t="s">
        <v>83</v>
      </c>
      <c r="U455" s="25" t="s">
        <v>83</v>
      </c>
      <c r="V455" s="25" t="s">
        <v>1173</v>
      </c>
      <c r="W455" s="52" t="s">
        <v>1174</v>
      </c>
      <c r="X455" s="52" t="s">
        <v>83</v>
      </c>
      <c r="Y455" s="53">
        <v>0</v>
      </c>
      <c r="Z455" s="53">
        <v>76.08</v>
      </c>
      <c r="AA455" s="5">
        <v>0</v>
      </c>
    </row>
    <row r="456" spans="12:27" x14ac:dyDescent="0.25">
      <c r="L456" s="28"/>
      <c r="M456" s="28"/>
      <c r="N456" s="69"/>
      <c r="O456" s="28"/>
      <c r="P456" s="25" t="s">
        <v>1175</v>
      </c>
      <c r="Q456" s="25" t="s">
        <v>113</v>
      </c>
      <c r="R456" s="60" t="s">
        <v>114</v>
      </c>
      <c r="S456" s="24">
        <v>45635</v>
      </c>
      <c r="T456" s="25" t="s">
        <v>83</v>
      </c>
      <c r="U456" s="25" t="s">
        <v>83</v>
      </c>
      <c r="V456" s="25" t="s">
        <v>1176</v>
      </c>
      <c r="W456" s="52" t="s">
        <v>1177</v>
      </c>
      <c r="X456" s="52" t="s">
        <v>83</v>
      </c>
      <c r="Y456" s="53">
        <v>0</v>
      </c>
      <c r="Z456" s="53">
        <v>114.97</v>
      </c>
      <c r="AA456" s="5">
        <v>0</v>
      </c>
    </row>
    <row r="457" spans="12:27" x14ac:dyDescent="0.25">
      <c r="L457" s="28"/>
      <c r="M457" s="28"/>
      <c r="N457" s="68"/>
      <c r="O457" s="29"/>
      <c r="P457" s="25" t="s">
        <v>1178</v>
      </c>
      <c r="Q457" s="25" t="s">
        <v>113</v>
      </c>
      <c r="R457" s="60" t="s">
        <v>114</v>
      </c>
      <c r="S457" s="24">
        <v>45635</v>
      </c>
      <c r="T457" s="25" t="s">
        <v>83</v>
      </c>
      <c r="U457" s="25" t="s">
        <v>83</v>
      </c>
      <c r="V457" s="25" t="s">
        <v>1179</v>
      </c>
      <c r="W457" s="52" t="s">
        <v>1180</v>
      </c>
      <c r="X457" s="52" t="s">
        <v>83</v>
      </c>
      <c r="Y457" s="53">
        <v>0</v>
      </c>
      <c r="Z457" s="53">
        <v>869.54</v>
      </c>
      <c r="AA457" s="5">
        <v>0</v>
      </c>
    </row>
    <row r="458" spans="12:27" x14ac:dyDescent="0.25">
      <c r="L458" s="28"/>
      <c r="M458" s="28"/>
      <c r="N458" s="67">
        <v>45649</v>
      </c>
      <c r="O458" s="23" t="s">
        <v>111</v>
      </c>
      <c r="P458" s="25" t="s">
        <v>1181</v>
      </c>
      <c r="Q458" s="25" t="s">
        <v>113</v>
      </c>
      <c r="R458" s="60" t="s">
        <v>114</v>
      </c>
      <c r="S458" s="24">
        <v>45649</v>
      </c>
      <c r="T458" s="25" t="s">
        <v>83</v>
      </c>
      <c r="U458" s="25" t="s">
        <v>83</v>
      </c>
      <c r="V458" s="25" t="s">
        <v>1182</v>
      </c>
      <c r="W458" s="52" t="s">
        <v>1183</v>
      </c>
      <c r="X458" s="52" t="s">
        <v>83</v>
      </c>
      <c r="Y458" s="53">
        <v>0</v>
      </c>
      <c r="Z458" s="53">
        <v>40.700000000000003</v>
      </c>
      <c r="AA458" s="5">
        <v>0</v>
      </c>
    </row>
    <row r="459" spans="12:27" x14ac:dyDescent="0.25">
      <c r="L459" s="28"/>
      <c r="M459" s="28"/>
      <c r="N459" s="68"/>
      <c r="O459" s="29"/>
      <c r="P459" s="25" t="s">
        <v>1184</v>
      </c>
      <c r="Q459" s="25" t="s">
        <v>113</v>
      </c>
      <c r="R459" s="60" t="s">
        <v>114</v>
      </c>
      <c r="S459" s="24">
        <v>45649</v>
      </c>
      <c r="T459" s="25" t="s">
        <v>83</v>
      </c>
      <c r="U459" s="25" t="s">
        <v>83</v>
      </c>
      <c r="V459" s="25" t="s">
        <v>1185</v>
      </c>
      <c r="W459" s="52" t="s">
        <v>1186</v>
      </c>
      <c r="X459" s="52" t="s">
        <v>83</v>
      </c>
      <c r="Y459" s="53">
        <v>0</v>
      </c>
      <c r="Z459" s="53">
        <v>102.66</v>
      </c>
      <c r="AA459" s="5">
        <v>0</v>
      </c>
    </row>
    <row r="460" spans="12:27" x14ac:dyDescent="0.25">
      <c r="L460" s="28"/>
      <c r="M460" s="28"/>
      <c r="N460" s="24">
        <v>45678</v>
      </c>
      <c r="O460" s="25" t="s">
        <v>111</v>
      </c>
      <c r="P460" s="25" t="s">
        <v>1187</v>
      </c>
      <c r="Q460" s="25" t="s">
        <v>113</v>
      </c>
      <c r="R460" s="60" t="s">
        <v>114</v>
      </c>
      <c r="S460" s="24">
        <v>45678</v>
      </c>
      <c r="T460" s="25" t="s">
        <v>83</v>
      </c>
      <c r="U460" s="25" t="s">
        <v>83</v>
      </c>
      <c r="V460" s="25" t="s">
        <v>1188</v>
      </c>
      <c r="W460" s="52" t="s">
        <v>1189</v>
      </c>
      <c r="X460" s="52" t="s">
        <v>83</v>
      </c>
      <c r="Y460" s="53">
        <v>0</v>
      </c>
      <c r="Z460" s="53">
        <v>18.28</v>
      </c>
      <c r="AA460" s="5">
        <v>0</v>
      </c>
    </row>
    <row r="461" spans="12:27" x14ac:dyDescent="0.25">
      <c r="L461" s="28"/>
      <c r="M461" s="28"/>
      <c r="N461" s="24">
        <v>45706</v>
      </c>
      <c r="O461" s="25" t="s">
        <v>111</v>
      </c>
      <c r="P461" s="25" t="s">
        <v>1190</v>
      </c>
      <c r="Q461" s="25" t="s">
        <v>113</v>
      </c>
      <c r="R461" s="60" t="s">
        <v>114</v>
      </c>
      <c r="S461" s="24">
        <v>45706</v>
      </c>
      <c r="T461" s="25" t="s">
        <v>83</v>
      </c>
      <c r="U461" s="25" t="s">
        <v>83</v>
      </c>
      <c r="V461" s="25" t="s">
        <v>1191</v>
      </c>
      <c r="W461" s="52" t="s">
        <v>1192</v>
      </c>
      <c r="X461" s="52" t="s">
        <v>83</v>
      </c>
      <c r="Y461" s="53">
        <v>0</v>
      </c>
      <c r="Z461" s="53">
        <v>1520.71</v>
      </c>
      <c r="AA461" s="5">
        <v>0</v>
      </c>
    </row>
    <row r="462" spans="12:27" x14ac:dyDescent="0.25">
      <c r="L462" s="28"/>
      <c r="M462" s="28"/>
      <c r="N462" s="67">
        <v>45849</v>
      </c>
      <c r="O462" s="23" t="s">
        <v>469</v>
      </c>
      <c r="P462" s="23" t="s">
        <v>470</v>
      </c>
      <c r="Q462" s="23" t="s">
        <v>113</v>
      </c>
      <c r="R462" s="61" t="s">
        <v>114</v>
      </c>
      <c r="S462" s="58">
        <v>45849</v>
      </c>
      <c r="T462" s="23" t="s">
        <v>83</v>
      </c>
      <c r="U462" s="23" t="s">
        <v>83</v>
      </c>
      <c r="V462" s="25" t="s">
        <v>1193</v>
      </c>
      <c r="W462" s="52" t="s">
        <v>472</v>
      </c>
      <c r="X462" s="52" t="s">
        <v>83</v>
      </c>
      <c r="Y462" s="53">
        <v>0</v>
      </c>
      <c r="Z462" s="53">
        <v>43.47</v>
      </c>
      <c r="AA462" s="5">
        <v>0</v>
      </c>
    </row>
    <row r="463" spans="12:27" x14ac:dyDescent="0.25">
      <c r="L463" s="28"/>
      <c r="M463" s="28"/>
      <c r="N463" s="69"/>
      <c r="O463" s="28"/>
      <c r="P463" s="28"/>
      <c r="Q463" s="28"/>
      <c r="R463" s="85"/>
      <c r="S463" s="62"/>
      <c r="T463" s="28"/>
      <c r="U463" s="28"/>
      <c r="V463" s="25" t="s">
        <v>1194</v>
      </c>
      <c r="W463" s="52" t="s">
        <v>472</v>
      </c>
      <c r="X463" s="52" t="s">
        <v>83</v>
      </c>
      <c r="Y463" s="53">
        <v>0</v>
      </c>
      <c r="Z463" s="53">
        <v>21.73</v>
      </c>
      <c r="AA463" s="5">
        <v>0</v>
      </c>
    </row>
    <row r="464" spans="12:27" x14ac:dyDescent="0.25">
      <c r="L464" s="28"/>
      <c r="M464" s="28"/>
      <c r="N464" s="69"/>
      <c r="O464" s="28"/>
      <c r="P464" s="28"/>
      <c r="Q464" s="28"/>
      <c r="R464" s="85"/>
      <c r="S464" s="62"/>
      <c r="T464" s="28"/>
      <c r="U464" s="28"/>
      <c r="V464" s="25" t="s">
        <v>1195</v>
      </c>
      <c r="W464" s="52" t="s">
        <v>472</v>
      </c>
      <c r="X464" s="52" t="s">
        <v>83</v>
      </c>
      <c r="Y464" s="53">
        <v>0</v>
      </c>
      <c r="Z464" s="53">
        <v>41.28</v>
      </c>
      <c r="AA464" s="5">
        <v>0</v>
      </c>
    </row>
    <row r="465" spans="12:27" x14ac:dyDescent="0.25">
      <c r="L465" s="28"/>
      <c r="M465" s="28"/>
      <c r="N465" s="69"/>
      <c r="O465" s="28"/>
      <c r="P465" s="28"/>
      <c r="Q465" s="28"/>
      <c r="R465" s="85"/>
      <c r="S465" s="62"/>
      <c r="T465" s="28"/>
      <c r="U465" s="28"/>
      <c r="V465" s="25" t="s">
        <v>1196</v>
      </c>
      <c r="W465" s="52" t="s">
        <v>472</v>
      </c>
      <c r="X465" s="52" t="s">
        <v>83</v>
      </c>
      <c r="Y465" s="53">
        <v>0</v>
      </c>
      <c r="Z465" s="53">
        <v>86.94</v>
      </c>
      <c r="AA465" s="5">
        <v>0</v>
      </c>
    </row>
    <row r="466" spans="12:27" x14ac:dyDescent="0.25">
      <c r="L466" s="29"/>
      <c r="M466" s="29"/>
      <c r="N466" s="68"/>
      <c r="O466" s="29"/>
      <c r="P466" s="29"/>
      <c r="Q466" s="29"/>
      <c r="R466" s="63"/>
      <c r="S466" s="59"/>
      <c r="T466" s="29"/>
      <c r="U466" s="29"/>
      <c r="V466" s="25" t="s">
        <v>1197</v>
      </c>
      <c r="W466" s="52" t="s">
        <v>472</v>
      </c>
      <c r="X466" s="52" t="s">
        <v>83</v>
      </c>
      <c r="Y466" s="53">
        <v>0</v>
      </c>
      <c r="Z466" s="53">
        <v>3956.15</v>
      </c>
      <c r="AA466" s="5">
        <v>0</v>
      </c>
    </row>
    <row r="467" spans="12:27" x14ac:dyDescent="0.25">
      <c r="L467" s="54" t="s">
        <v>261</v>
      </c>
      <c r="M467" s="55"/>
      <c r="N467" s="66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6">
        <v>0</v>
      </c>
      <c r="Z467" s="56">
        <v>7314.26</v>
      </c>
      <c r="AA467" s="57">
        <v>0</v>
      </c>
    </row>
    <row r="468" spans="12:27" x14ac:dyDescent="0.25">
      <c r="L468" s="23" t="s">
        <v>49</v>
      </c>
      <c r="M468" s="23" t="s">
        <v>50</v>
      </c>
      <c r="N468" s="67">
        <v>45503</v>
      </c>
      <c r="O468" s="25" t="s">
        <v>154</v>
      </c>
      <c r="P468" s="25" t="s">
        <v>248</v>
      </c>
      <c r="Q468" s="25" t="s">
        <v>113</v>
      </c>
      <c r="R468" s="60" t="s">
        <v>114</v>
      </c>
      <c r="S468" s="24">
        <v>45489</v>
      </c>
      <c r="T468" s="25" t="s">
        <v>248</v>
      </c>
      <c r="U468" s="25" t="s">
        <v>83</v>
      </c>
      <c r="V468" s="25" t="s">
        <v>249</v>
      </c>
      <c r="W468" s="52" t="s">
        <v>83</v>
      </c>
      <c r="X468" s="52" t="s">
        <v>83</v>
      </c>
      <c r="Y468" s="53">
        <v>0</v>
      </c>
      <c r="Z468" s="53">
        <v>0</v>
      </c>
      <c r="AA468" s="5">
        <v>483.2</v>
      </c>
    </row>
    <row r="469" spans="12:27" x14ac:dyDescent="0.25">
      <c r="L469" s="29"/>
      <c r="M469" s="29"/>
      <c r="N469" s="68"/>
      <c r="O469" s="25" t="s">
        <v>253</v>
      </c>
      <c r="P469" s="25" t="s">
        <v>1198</v>
      </c>
      <c r="Q469" s="25" t="s">
        <v>113</v>
      </c>
      <c r="R469" s="60" t="s">
        <v>114</v>
      </c>
      <c r="S469" s="24">
        <v>45503</v>
      </c>
      <c r="T469" s="25" t="s">
        <v>248</v>
      </c>
      <c r="U469" s="25" t="s">
        <v>83</v>
      </c>
      <c r="V469" s="25" t="s">
        <v>249</v>
      </c>
      <c r="W469" s="52" t="s">
        <v>1199</v>
      </c>
      <c r="X469" s="52" t="s">
        <v>249</v>
      </c>
      <c r="Y469" s="53">
        <v>0</v>
      </c>
      <c r="Z469" s="53">
        <v>483.2</v>
      </c>
      <c r="AA469" s="5">
        <v>-483.2</v>
      </c>
    </row>
    <row r="470" spans="12:27" x14ac:dyDescent="0.25">
      <c r="L470" s="54" t="s">
        <v>300</v>
      </c>
      <c r="M470" s="55"/>
      <c r="N470" s="66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6">
        <v>0</v>
      </c>
      <c r="Z470" s="56">
        <v>483.2</v>
      </c>
      <c r="AA470" s="57">
        <v>0</v>
      </c>
    </row>
    <row r="471" spans="12:27" x14ac:dyDescent="0.25">
      <c r="L471" s="23" t="s">
        <v>53</v>
      </c>
      <c r="M471" s="23" t="s">
        <v>54</v>
      </c>
      <c r="N471" s="67">
        <v>45482</v>
      </c>
      <c r="O471" s="23" t="s">
        <v>111</v>
      </c>
      <c r="P471" s="25" t="s">
        <v>1200</v>
      </c>
      <c r="Q471" s="25" t="s">
        <v>113</v>
      </c>
      <c r="R471" s="60" t="s">
        <v>114</v>
      </c>
      <c r="S471" s="24">
        <v>45482</v>
      </c>
      <c r="T471" s="25" t="s">
        <v>83</v>
      </c>
      <c r="U471" s="25" t="s">
        <v>83</v>
      </c>
      <c r="V471" s="25" t="s">
        <v>1165</v>
      </c>
      <c r="W471" s="52" t="s">
        <v>1201</v>
      </c>
      <c r="X471" s="52" t="s">
        <v>83</v>
      </c>
      <c r="Y471" s="53">
        <v>0</v>
      </c>
      <c r="Z471" s="53">
        <v>106.66</v>
      </c>
      <c r="AA471" s="5">
        <v>0</v>
      </c>
    </row>
    <row r="472" spans="12:27" x14ac:dyDescent="0.25">
      <c r="L472" s="29"/>
      <c r="M472" s="29"/>
      <c r="N472" s="68"/>
      <c r="O472" s="29"/>
      <c r="P472" s="25" t="s">
        <v>1202</v>
      </c>
      <c r="Q472" s="25" t="s">
        <v>113</v>
      </c>
      <c r="R472" s="60" t="s">
        <v>114</v>
      </c>
      <c r="S472" s="24">
        <v>45482</v>
      </c>
      <c r="T472" s="25" t="s">
        <v>83</v>
      </c>
      <c r="U472" s="25" t="s">
        <v>83</v>
      </c>
      <c r="V472" s="25" t="s">
        <v>1165</v>
      </c>
      <c r="W472" s="52" t="s">
        <v>1203</v>
      </c>
      <c r="X472" s="52" t="s">
        <v>83</v>
      </c>
      <c r="Y472" s="53">
        <v>0</v>
      </c>
      <c r="Z472" s="53">
        <v>35.880000000000003</v>
      </c>
      <c r="AA472" s="5">
        <v>0</v>
      </c>
    </row>
    <row r="473" spans="12:27" x14ac:dyDescent="0.25">
      <c r="L473" s="54" t="s">
        <v>319</v>
      </c>
      <c r="M473" s="55"/>
      <c r="N473" s="66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6">
        <v>0</v>
      </c>
      <c r="Z473" s="56">
        <v>142.54</v>
      </c>
      <c r="AA473" s="57">
        <v>0</v>
      </c>
    </row>
    <row r="474" spans="12:27" x14ac:dyDescent="0.25">
      <c r="L474" s="23" t="s">
        <v>58</v>
      </c>
      <c r="M474" s="23" t="s">
        <v>59</v>
      </c>
      <c r="N474" s="24">
        <v>45593</v>
      </c>
      <c r="O474" s="25" t="s">
        <v>228</v>
      </c>
      <c r="P474" s="25" t="s">
        <v>1204</v>
      </c>
      <c r="Q474" s="25" t="s">
        <v>113</v>
      </c>
      <c r="R474" s="60" t="s">
        <v>114</v>
      </c>
      <c r="S474" s="24">
        <v>45593</v>
      </c>
      <c r="T474" s="25" t="s">
        <v>83</v>
      </c>
      <c r="U474" s="25" t="s">
        <v>1205</v>
      </c>
      <c r="V474" s="25" t="s">
        <v>1206</v>
      </c>
      <c r="W474" s="52" t="s">
        <v>1207</v>
      </c>
      <c r="X474" s="52" t="s">
        <v>83</v>
      </c>
      <c r="Y474" s="53">
        <v>0</v>
      </c>
      <c r="Z474" s="53">
        <v>1711.17</v>
      </c>
      <c r="AA474" s="5">
        <v>0</v>
      </c>
    </row>
    <row r="475" spans="12:27" x14ac:dyDescent="0.25">
      <c r="L475" s="29"/>
      <c r="M475" s="29"/>
      <c r="N475" s="24">
        <v>45838</v>
      </c>
      <c r="O475" s="25" t="s">
        <v>228</v>
      </c>
      <c r="P475" s="25" t="s">
        <v>1208</v>
      </c>
      <c r="Q475" s="25" t="s">
        <v>113</v>
      </c>
      <c r="R475" s="60" t="s">
        <v>114</v>
      </c>
      <c r="S475" s="24">
        <v>45838</v>
      </c>
      <c r="T475" s="25" t="s">
        <v>83</v>
      </c>
      <c r="U475" s="25" t="s">
        <v>83</v>
      </c>
      <c r="V475" s="25" t="s">
        <v>1209</v>
      </c>
      <c r="W475" s="52" t="s">
        <v>1210</v>
      </c>
      <c r="X475" s="52" t="s">
        <v>83</v>
      </c>
      <c r="Y475" s="53">
        <v>0</v>
      </c>
      <c r="Z475" s="53">
        <v>333.55</v>
      </c>
      <c r="AA475" s="5">
        <v>0</v>
      </c>
    </row>
    <row r="476" spans="12:27" x14ac:dyDescent="0.25">
      <c r="L476" s="54" t="s">
        <v>321</v>
      </c>
      <c r="M476" s="55"/>
      <c r="N476" s="66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6">
        <v>0</v>
      </c>
      <c r="Z476" s="56">
        <v>2044.72</v>
      </c>
      <c r="AA476" s="57">
        <v>0</v>
      </c>
    </row>
    <row r="477" spans="12:27" x14ac:dyDescent="0.25">
      <c r="L477" s="23" t="s">
        <v>60</v>
      </c>
      <c r="M477" s="23" t="s">
        <v>61</v>
      </c>
      <c r="N477" s="67">
        <v>45820</v>
      </c>
      <c r="O477" s="23" t="s">
        <v>329</v>
      </c>
      <c r="P477" s="23" t="s">
        <v>1211</v>
      </c>
      <c r="Q477" s="23" t="s">
        <v>113</v>
      </c>
      <c r="R477" s="61" t="s">
        <v>114</v>
      </c>
      <c r="S477" s="58">
        <v>45820</v>
      </c>
      <c r="T477" s="23" t="s">
        <v>83</v>
      </c>
      <c r="U477" s="23" t="s">
        <v>83</v>
      </c>
      <c r="V477" s="25" t="s">
        <v>1212</v>
      </c>
      <c r="W477" s="52" t="s">
        <v>1088</v>
      </c>
      <c r="X477" s="52" t="s">
        <v>83</v>
      </c>
      <c r="Y477" s="53">
        <v>0</v>
      </c>
      <c r="Z477" s="53">
        <v>179.98</v>
      </c>
      <c r="AA477" s="5">
        <v>0</v>
      </c>
    </row>
    <row r="478" spans="12:27" x14ac:dyDescent="0.25">
      <c r="L478" s="29"/>
      <c r="M478" s="29"/>
      <c r="N478" s="68"/>
      <c r="O478" s="29"/>
      <c r="P478" s="29"/>
      <c r="Q478" s="29"/>
      <c r="R478" s="63"/>
      <c r="S478" s="59"/>
      <c r="T478" s="29"/>
      <c r="U478" s="29"/>
      <c r="V478" s="25" t="s">
        <v>1213</v>
      </c>
      <c r="W478" s="52" t="s">
        <v>1088</v>
      </c>
      <c r="X478" s="52" t="s">
        <v>83</v>
      </c>
      <c r="Y478" s="53">
        <v>0</v>
      </c>
      <c r="Z478" s="53">
        <v>264.49</v>
      </c>
      <c r="AA478" s="5">
        <v>0</v>
      </c>
    </row>
    <row r="479" spans="12:27" x14ac:dyDescent="0.25">
      <c r="L479" s="54" t="s">
        <v>326</v>
      </c>
      <c r="M479" s="55"/>
      <c r="N479" s="66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6">
        <v>0</v>
      </c>
      <c r="Z479" s="56">
        <v>444.47</v>
      </c>
      <c r="AA479" s="57">
        <v>0</v>
      </c>
    </row>
    <row r="480" spans="12:27" x14ac:dyDescent="0.25">
      <c r="L480" s="25" t="s">
        <v>62</v>
      </c>
      <c r="M480" s="25" t="s">
        <v>63</v>
      </c>
      <c r="N480" s="24">
        <v>45838</v>
      </c>
      <c r="O480" s="25" t="s">
        <v>228</v>
      </c>
      <c r="P480" s="25" t="s">
        <v>1208</v>
      </c>
      <c r="Q480" s="25" t="s">
        <v>113</v>
      </c>
      <c r="R480" s="60" t="s">
        <v>114</v>
      </c>
      <c r="S480" s="24">
        <v>45838</v>
      </c>
      <c r="T480" s="25" t="s">
        <v>83</v>
      </c>
      <c r="U480" s="25" t="s">
        <v>83</v>
      </c>
      <c r="V480" s="25" t="s">
        <v>1214</v>
      </c>
      <c r="W480" s="52" t="s">
        <v>1210</v>
      </c>
      <c r="X480" s="52" t="s">
        <v>83</v>
      </c>
      <c r="Y480" s="53">
        <v>0</v>
      </c>
      <c r="Z480" s="53">
        <v>72</v>
      </c>
      <c r="AA480" s="5">
        <v>0</v>
      </c>
    </row>
    <row r="481" spans="12:27" x14ac:dyDescent="0.25">
      <c r="L481" s="54" t="s">
        <v>328</v>
      </c>
      <c r="M481" s="55"/>
      <c r="N481" s="66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6">
        <v>0</v>
      </c>
      <c r="Z481" s="56">
        <v>72</v>
      </c>
      <c r="AA481" s="57">
        <v>0</v>
      </c>
    </row>
    <row r="482" spans="12:27" x14ac:dyDescent="0.25">
      <c r="L482" s="23" t="s">
        <v>65</v>
      </c>
      <c r="M482" s="23" t="s">
        <v>66</v>
      </c>
      <c r="N482" s="67">
        <v>45503</v>
      </c>
      <c r="O482" s="25" t="s">
        <v>154</v>
      </c>
      <c r="P482" s="25" t="s">
        <v>248</v>
      </c>
      <c r="Q482" s="25" t="s">
        <v>113</v>
      </c>
      <c r="R482" s="60" t="s">
        <v>114</v>
      </c>
      <c r="S482" s="24">
        <v>45489</v>
      </c>
      <c r="T482" s="25" t="s">
        <v>248</v>
      </c>
      <c r="U482" s="25" t="s">
        <v>83</v>
      </c>
      <c r="V482" s="25" t="s">
        <v>249</v>
      </c>
      <c r="W482" s="52" t="s">
        <v>83</v>
      </c>
      <c r="X482" s="52" t="s">
        <v>83</v>
      </c>
      <c r="Y482" s="53">
        <v>0</v>
      </c>
      <c r="Z482" s="53">
        <v>0</v>
      </c>
      <c r="AA482" s="5">
        <v>13409.23</v>
      </c>
    </row>
    <row r="483" spans="12:27" x14ac:dyDescent="0.25">
      <c r="L483" s="28"/>
      <c r="M483" s="28"/>
      <c r="N483" s="68"/>
      <c r="O483" s="25" t="s">
        <v>253</v>
      </c>
      <c r="P483" s="25" t="s">
        <v>1215</v>
      </c>
      <c r="Q483" s="25" t="s">
        <v>113</v>
      </c>
      <c r="R483" s="60" t="s">
        <v>114</v>
      </c>
      <c r="S483" s="24">
        <v>45503</v>
      </c>
      <c r="T483" s="25" t="s">
        <v>248</v>
      </c>
      <c r="U483" s="25" t="s">
        <v>83</v>
      </c>
      <c r="V483" s="25" t="s">
        <v>249</v>
      </c>
      <c r="W483" s="52" t="s">
        <v>1216</v>
      </c>
      <c r="X483" s="52" t="s">
        <v>249</v>
      </c>
      <c r="Y483" s="53">
        <v>0</v>
      </c>
      <c r="Z483" s="53">
        <v>7126.03</v>
      </c>
      <c r="AA483" s="5">
        <v>-7126.03</v>
      </c>
    </row>
    <row r="484" spans="12:27" x14ac:dyDescent="0.25">
      <c r="L484" s="29"/>
      <c r="M484" s="29"/>
      <c r="N484" s="24">
        <v>45512</v>
      </c>
      <c r="O484" s="25" t="s">
        <v>253</v>
      </c>
      <c r="P484" s="25" t="s">
        <v>1217</v>
      </c>
      <c r="Q484" s="25" t="s">
        <v>113</v>
      </c>
      <c r="R484" s="60" t="s">
        <v>114</v>
      </c>
      <c r="S484" s="24">
        <v>45512</v>
      </c>
      <c r="T484" s="25" t="s">
        <v>248</v>
      </c>
      <c r="U484" s="25" t="s">
        <v>83</v>
      </c>
      <c r="V484" s="25" t="s">
        <v>249</v>
      </c>
      <c r="W484" s="52" t="s">
        <v>1218</v>
      </c>
      <c r="X484" s="52" t="s">
        <v>249</v>
      </c>
      <c r="Y484" s="53">
        <v>0</v>
      </c>
      <c r="Z484" s="53">
        <v>6283.2</v>
      </c>
      <c r="AA484" s="5">
        <v>-6283.2</v>
      </c>
    </row>
    <row r="485" spans="12:27" x14ac:dyDescent="0.25">
      <c r="L485" s="54" t="s">
        <v>341</v>
      </c>
      <c r="M485" s="55"/>
      <c r="N485" s="66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6">
        <v>0</v>
      </c>
      <c r="Z485" s="56">
        <v>13409.23</v>
      </c>
      <c r="AA485" s="57">
        <v>0</v>
      </c>
    </row>
  </sheetData>
  <mergeCells count="3">
    <mergeCell ref="B2:J2"/>
    <mergeCell ref="L2:AA2"/>
    <mergeCell ref="AC2:AM2"/>
  </mergeCells>
  <hyperlinks>
    <hyperlink ref="R354" r:id="rId1" xr:uid="{E61B077D-2B6C-4C02-98CB-1F535542945B}"/>
    <hyperlink ref="R353" r:id="rId2" xr:uid="{E11BCA49-B3F5-4653-BDCB-DA3EECB93A40}"/>
    <hyperlink ref="R352" r:id="rId3" xr:uid="{2675F3CA-9E80-4DF4-B27F-664EF3C9116F}"/>
    <hyperlink ref="R351" r:id="rId4" xr:uid="{25F6B2EB-5936-4478-8342-71CBB78D898B}"/>
    <hyperlink ref="R350" r:id="rId5" xr:uid="{3B4F3F9C-19CF-4269-9FF0-3A14EA54744F}"/>
    <hyperlink ref="R349" r:id="rId6" xr:uid="{B3CD3022-8DFC-4D0D-A15A-A6FD0639B038}"/>
    <hyperlink ref="R348" r:id="rId7" xr:uid="{7D297606-258B-4922-903A-A0EF3CDD5AE2}"/>
    <hyperlink ref="R347" r:id="rId8" xr:uid="{AEB45929-43C2-424E-898F-8022A9DC319B}"/>
    <hyperlink ref="R346" r:id="rId9" xr:uid="{791877CE-06E7-4AA8-804D-0412C8F53A3E}"/>
    <hyperlink ref="R345" r:id="rId10" xr:uid="{FDF1FFB9-6DE5-4EFC-9421-D7B960C59704}"/>
    <hyperlink ref="R344" r:id="rId11" xr:uid="{F7C71615-D158-4952-A909-39315E352145}"/>
    <hyperlink ref="R343" r:id="rId12" xr:uid="{AD4BA3AF-BBEE-46D0-BDB6-3A49A12052CA}"/>
    <hyperlink ref="R342" r:id="rId13" xr:uid="{7BBB5395-8C59-410F-AB0D-DB0E2055F265}"/>
    <hyperlink ref="R341" r:id="rId14" xr:uid="{F2720234-585D-4122-8D2E-0A3CD2A1F44E}"/>
    <hyperlink ref="R340" r:id="rId15" xr:uid="{A0D42886-DEFB-45A1-9BA4-EB306373463B}"/>
    <hyperlink ref="R339" r:id="rId16" xr:uid="{C139A384-B777-490B-8F26-16B1177FC8AE}"/>
    <hyperlink ref="R338" r:id="rId17" xr:uid="{4D0A46F4-13B8-48E4-A540-534A5696BCC9}"/>
    <hyperlink ref="R337" r:id="rId18" xr:uid="{EDB5D76E-0262-4DDF-90CC-A7289647F323}"/>
    <hyperlink ref="R336" r:id="rId19" xr:uid="{22181484-AFF2-4813-B9FF-41F2798D3EF5}"/>
    <hyperlink ref="R335" r:id="rId20" xr:uid="{5AB959C7-389A-4CBD-B338-BB017F4A73AD}"/>
    <hyperlink ref="R334" r:id="rId21" xr:uid="{8959BEC8-FC8C-4E30-8549-1CADBACBD69E}"/>
    <hyperlink ref="R333" r:id="rId22" xr:uid="{7993BBC0-2824-4158-A831-C19EAEE58205}"/>
    <hyperlink ref="R332" r:id="rId23" xr:uid="{A59EB812-D90F-4ACA-BB88-AA0C0216BE48}"/>
    <hyperlink ref="R331" r:id="rId24" xr:uid="{66466238-741B-4360-ADA4-066F978FAE75}"/>
    <hyperlink ref="R330" r:id="rId25" xr:uid="{C3060E07-7986-4D0B-A343-0027C033490F}"/>
    <hyperlink ref="R329" r:id="rId26" xr:uid="{2C2E5DB6-9D02-40F5-9E29-C7836CD089AD}"/>
    <hyperlink ref="R328" r:id="rId27" xr:uid="{AC1E1102-935B-4DAD-B32D-F23F432B8AF8}"/>
    <hyperlink ref="R327" r:id="rId28" xr:uid="{DD97CFF3-D509-495A-A422-18E6B838F162}"/>
    <hyperlink ref="R326" r:id="rId29" xr:uid="{4CCA51B5-C13C-43B9-9F4B-849742543DD9}"/>
    <hyperlink ref="R325" r:id="rId30" xr:uid="{F088559B-91B1-4CAA-AA62-3268FA3FDA61}"/>
    <hyperlink ref="R324" r:id="rId31" xr:uid="{866CBE93-15D6-4C96-AF4B-F70DCE833250}"/>
    <hyperlink ref="R323" r:id="rId32" xr:uid="{FA7026D8-220B-4B0C-9C5E-3A50CBCFE920}"/>
    <hyperlink ref="R322" r:id="rId33" xr:uid="{5D3DF14C-2CAB-4D5C-A5AC-FEE438FACDD3}"/>
    <hyperlink ref="R321" r:id="rId34" xr:uid="{98CAF6CE-14FD-4963-84E2-F93117675AA7}"/>
    <hyperlink ref="R320" r:id="rId35" xr:uid="{6750D45F-03EF-4FD1-AE5F-3E06B69E0BC9}"/>
    <hyperlink ref="R319" r:id="rId36" xr:uid="{F0934690-E6E5-48F2-97F5-AD8C97804D12}"/>
    <hyperlink ref="R317" r:id="rId37" xr:uid="{D346228D-F61F-468C-8F67-D9848F1D992E}"/>
    <hyperlink ref="R315" r:id="rId38" xr:uid="{2FE0AE09-013F-4588-AEA8-E1050F8E5EE8}"/>
    <hyperlink ref="R313" r:id="rId39" xr:uid="{A92C7388-6313-4AD9-B839-3A5F6A52D617}"/>
    <hyperlink ref="R312" r:id="rId40" xr:uid="{26869434-2DC0-443D-9479-F756B5BC8699}"/>
    <hyperlink ref="R311" r:id="rId41" xr:uid="{46FFD727-E5C6-49F0-BA1C-94E0A12D9D0E}"/>
    <hyperlink ref="R310" r:id="rId42" xr:uid="{3F60FFD8-910E-4901-92C9-9E5DC7E46A5F}"/>
    <hyperlink ref="R309" r:id="rId43" xr:uid="{CFB7E4F0-C592-4249-98CC-2759F218BA78}"/>
    <hyperlink ref="R308" r:id="rId44" xr:uid="{4684F907-A101-4FC7-B5C4-37620D6403F6}"/>
    <hyperlink ref="R307" r:id="rId45" xr:uid="{F2672271-A67D-4E8F-9FA4-EFD6C3645CCA}"/>
    <hyperlink ref="R306" r:id="rId46" xr:uid="{0B414E50-E94B-4324-AFBF-B47F1B325C15}"/>
    <hyperlink ref="R305" r:id="rId47" xr:uid="{FF99FEB1-6F28-4477-A423-30E76D565AF7}"/>
    <hyperlink ref="R304" r:id="rId48" xr:uid="{95BFFD21-6B00-410B-A9CF-446F21072261}"/>
    <hyperlink ref="R303" r:id="rId49" xr:uid="{D7FD9FD6-F054-40DD-BB79-167391B8FE55}"/>
    <hyperlink ref="R302" r:id="rId50" xr:uid="{E04AA3B3-67ED-4CC8-B9F0-9A4A6B7A7887}"/>
    <hyperlink ref="R301" r:id="rId51" xr:uid="{84204A6A-A964-419F-AAD9-24B6F0E6546C}"/>
    <hyperlink ref="R300" r:id="rId52" xr:uid="{C99DB1B5-5111-4559-9D55-50C06F50DA8E}"/>
    <hyperlink ref="R299" r:id="rId53" xr:uid="{F1D90264-975D-46D3-8BB1-927D0F234692}"/>
    <hyperlink ref="R298" r:id="rId54" xr:uid="{4582F25E-8AD8-4A8A-A337-02B43B91EBA0}"/>
    <hyperlink ref="R297" r:id="rId55" xr:uid="{8ECE472D-67DC-4237-8EC3-EF84EFB0D2A3}"/>
    <hyperlink ref="R296" r:id="rId56" xr:uid="{60A929D3-452C-44CE-B885-AFBCC5691638}"/>
    <hyperlink ref="R295" r:id="rId57" xr:uid="{FA323649-3360-44D6-8962-674D8996EA70}"/>
    <hyperlink ref="R194" r:id="rId58" xr:uid="{E9C119AF-B477-4167-8514-0E23162707A1}"/>
    <hyperlink ref="R193" r:id="rId59" xr:uid="{C3D13D35-0636-456B-878E-52D3AD7BD606}"/>
    <hyperlink ref="R192" r:id="rId60" xr:uid="{5FCC864C-4108-4B8E-920B-8C0191D02973}"/>
    <hyperlink ref="R191" r:id="rId61" xr:uid="{F2F4DAFE-CD2C-45AD-9BF6-307D8920CCC9}"/>
    <hyperlink ref="R190" r:id="rId62" xr:uid="{850D5095-F9C6-418F-8F50-7CDF16339074}"/>
    <hyperlink ref="R188" r:id="rId63" xr:uid="{2316969D-C01C-4F9B-B0CB-CD289D6E44A6}"/>
    <hyperlink ref="R187" r:id="rId64" xr:uid="{3BD870CD-32E4-4E53-9750-770A8D222B84}"/>
    <hyperlink ref="R186" r:id="rId65" xr:uid="{6A3BD583-D810-4DD4-855A-4FBA4CA564BB}"/>
    <hyperlink ref="R185" r:id="rId66" xr:uid="{95D346C4-D4B9-4262-94C0-B4D014B194E9}"/>
    <hyperlink ref="R184" r:id="rId67" xr:uid="{77F21D0E-1FBA-4B5A-A2C4-24AB7214DC0F}"/>
    <hyperlink ref="R183" r:id="rId68" xr:uid="{D64A6BBB-E311-4F8C-9D31-84AC9CFF1C2A}"/>
    <hyperlink ref="R181" r:id="rId69" xr:uid="{FC7DBB1B-1893-48AF-81DA-BADE2712BFA6}"/>
    <hyperlink ref="R180" r:id="rId70" xr:uid="{27B9DBBB-4469-45D2-B98C-E9C9038CE4D9}"/>
    <hyperlink ref="R179" r:id="rId71" xr:uid="{A193C1ED-C90D-4B50-BA92-AB60BAEE89A4}"/>
    <hyperlink ref="R178" r:id="rId72" xr:uid="{99109153-DC1F-41B3-8409-6A6D4163AEE2}"/>
    <hyperlink ref="R177" r:id="rId73" xr:uid="{63543F10-F9AB-4D09-ABBD-20D744EE0A45}"/>
    <hyperlink ref="R176" r:id="rId74" xr:uid="{123E82C0-34AC-4A67-9CCD-CDA6CE1A1833}"/>
    <hyperlink ref="R175" r:id="rId75" xr:uid="{8F3EE76D-B00B-4908-B136-C1894F5D4A7A}"/>
    <hyperlink ref="R173" r:id="rId76" xr:uid="{B8F82D98-D283-4F13-A71E-F07AC67B2EC8}"/>
    <hyperlink ref="R171" r:id="rId77" xr:uid="{8120AB36-DF09-4135-942A-88227D3884CA}"/>
    <hyperlink ref="R170" r:id="rId78" xr:uid="{189D4AE5-4CA5-46F2-B2DB-C514CE01885B}"/>
    <hyperlink ref="R169" r:id="rId79" xr:uid="{37765E60-CE3B-43EF-B255-6ED7EADEA371}"/>
    <hyperlink ref="R167" r:id="rId80" xr:uid="{B7A482CC-BECA-4A20-BF84-2C0A480816E5}"/>
    <hyperlink ref="R165" r:id="rId81" xr:uid="{EC457D64-BAA4-4FBF-BCA7-0C75B72FAE61}"/>
    <hyperlink ref="R161" r:id="rId82" xr:uid="{FCC54277-637A-4F48-8F55-43C61F3387CF}"/>
    <hyperlink ref="R160" r:id="rId83" xr:uid="{1E0C961F-69B2-49F3-8451-2F8072D64E79}"/>
    <hyperlink ref="R158" r:id="rId84" xr:uid="{3B3711DA-7EA4-44AE-9A83-F230A1BADDD1}"/>
    <hyperlink ref="R154" r:id="rId85" xr:uid="{643400DB-E85C-448A-8562-FC4EB68C6D9A}"/>
    <hyperlink ref="R126" r:id="rId86" xr:uid="{1D017C3F-461A-4AA6-94D1-308C91C6C52C}"/>
    <hyperlink ref="R484" r:id="rId87" xr:uid="{5B4448ED-924D-48CB-871E-48B1CB923DE7}"/>
    <hyperlink ref="R483" r:id="rId88" xr:uid="{FC67A884-60BE-4263-A759-03D445E18462}"/>
    <hyperlink ref="R482" r:id="rId89" xr:uid="{58CB1F10-716D-4FA3-985E-B3E23AEBC2CA}"/>
    <hyperlink ref="R480" r:id="rId90" xr:uid="{657F3095-5585-4D45-8C8D-3506849E285F}"/>
    <hyperlink ref="R477" r:id="rId91" xr:uid="{5AFA8750-4A97-4CA5-A616-80E7A31CF6D6}"/>
    <hyperlink ref="R475" r:id="rId92" xr:uid="{84E66D90-7EC8-4232-A1D6-EFDB127CE826}"/>
    <hyperlink ref="R474" r:id="rId93" xr:uid="{04F2B1AE-6465-41DC-BD0B-61DE61BF1568}"/>
    <hyperlink ref="R472" r:id="rId94" xr:uid="{538884EB-1011-405A-923B-679B3F16A20F}"/>
    <hyperlink ref="R471" r:id="rId95" xr:uid="{E02EADEA-A581-4F00-B41C-B8279E730E4A}"/>
    <hyperlink ref="R469" r:id="rId96" xr:uid="{BA837249-F85C-480E-80F1-CC92048232AA}"/>
    <hyperlink ref="R468" r:id="rId97" xr:uid="{C9536A21-80BA-4805-88F4-1C70FC716CB1}"/>
    <hyperlink ref="R462" r:id="rId98" xr:uid="{1D73AC01-12E3-4185-92D8-5A8D062F5E75}"/>
    <hyperlink ref="R461" r:id="rId99" xr:uid="{BBA27CBF-A45F-4661-9A5B-9B3719111AA7}"/>
    <hyperlink ref="R460" r:id="rId100" xr:uid="{4752E4E0-F171-4C0A-B8EF-255020FB3F22}"/>
    <hyperlink ref="R459" r:id="rId101" xr:uid="{F39906BA-0C5E-4940-9EB6-1054B9D20B20}"/>
    <hyperlink ref="R458" r:id="rId102" xr:uid="{1905F9D6-802F-496B-9936-BEA6650A4F74}"/>
    <hyperlink ref="R457" r:id="rId103" xr:uid="{E8A6668C-10F9-4045-B71D-E5497CAC7B3F}"/>
    <hyperlink ref="R456" r:id="rId104" xr:uid="{77EDBF14-8DCA-456A-8DD0-CB75E8AD3CC0}"/>
    <hyperlink ref="R455" r:id="rId105" xr:uid="{E8C54E03-6D3D-44F5-BB84-76ABB5E1C0C8}"/>
    <hyperlink ref="R454" r:id="rId106" xr:uid="{26F3ACD6-C11E-4C42-8F06-7208B02E6B23}"/>
    <hyperlink ref="R451" r:id="rId107" xr:uid="{C0F66D2A-F551-4A02-A458-356ED26627D8}"/>
    <hyperlink ref="R449" r:id="rId108" xr:uid="{374EE1D7-34BC-49AE-BE3F-0E931B8E5A34}"/>
    <hyperlink ref="R448" r:id="rId109" xr:uid="{8CB560C8-BC3B-4C32-A76E-F73C1BD46BC5}"/>
    <hyperlink ref="R447" r:id="rId110" xr:uid="{57F7F5C5-0E49-42E6-8054-408AE557BDFC}"/>
    <hyperlink ref="R446" r:id="rId111" xr:uid="{33AD57D0-8E40-420A-B05D-54B7EC3B0780}"/>
    <hyperlink ref="R445" r:id="rId112" xr:uid="{8377DCE8-AC9E-449D-9898-F8C1C2BDD1BC}"/>
    <hyperlink ref="R444" r:id="rId113" xr:uid="{0C625D7A-D0CD-4F52-8C2F-0113D6080ABA}"/>
    <hyperlink ref="R443" r:id="rId114" xr:uid="{2BFB2161-8E13-423C-9DBA-46AB3D74AF22}"/>
    <hyperlink ref="R442" r:id="rId115" xr:uid="{5CCEBDA4-64F2-4CEB-94B5-220F57022CF7}"/>
    <hyperlink ref="R441" r:id="rId116" xr:uid="{79048165-0E14-48C8-8F53-DC0D6E8C3F64}"/>
    <hyperlink ref="R439" r:id="rId117" xr:uid="{0E71BC21-BFE1-482B-85D0-E39D01FA702F}"/>
    <hyperlink ref="R438" r:id="rId118" xr:uid="{67E91705-04B8-4D40-B9CA-A75EF4534D1F}"/>
    <hyperlink ref="R436" r:id="rId119" xr:uid="{490B64BA-63F4-413E-ADD6-83DDD01B60AB}"/>
    <hyperlink ref="R435" r:id="rId120" xr:uid="{F04EF680-897C-4B3B-9EAB-63A5AA464072}"/>
    <hyperlink ref="R434" r:id="rId121" xr:uid="{249FAD15-60D8-48C1-A280-938FF15B542E}"/>
    <hyperlink ref="R433" r:id="rId122" xr:uid="{621D128C-3E67-4AF7-A28A-B9434337CF3C}"/>
    <hyperlink ref="R432" r:id="rId123" xr:uid="{5C55F667-CD60-4148-884F-09C6AF051295}"/>
    <hyperlink ref="R430" r:id="rId124" xr:uid="{D634C644-BDDA-430C-B0A3-952EF59BA767}"/>
    <hyperlink ref="R429" r:id="rId125" xr:uid="{0A872DE2-25E8-44E7-966E-8968B7CC049C}"/>
    <hyperlink ref="R427" r:id="rId126" xr:uid="{3A00C419-761E-4988-9DB9-FE58968B4410}"/>
    <hyperlink ref="R426" r:id="rId127" xr:uid="{86BC415E-43D9-4048-8EB6-34D90BB3B69B}"/>
    <hyperlink ref="R425" r:id="rId128" xr:uid="{E78D6601-FDC7-4C70-AD9A-060886167653}"/>
    <hyperlink ref="R424" r:id="rId129" xr:uid="{E4463B5D-F746-42FB-A81C-DF0D07A35144}"/>
    <hyperlink ref="R423" r:id="rId130" xr:uid="{6A35EC01-E0A8-45C9-A46C-3A634860070C}"/>
    <hyperlink ref="R422" r:id="rId131" xr:uid="{2D05B521-D78D-48C8-8584-F1F4BB311117}"/>
    <hyperlink ref="R421" r:id="rId132" xr:uid="{5A390B75-6D7F-491E-9FB2-4328FF35B617}"/>
    <hyperlink ref="R420" r:id="rId133" xr:uid="{D2401B10-46E7-40E5-B6FA-FF76F927A1B1}"/>
    <hyperlink ref="R419" r:id="rId134" xr:uid="{9C6EEEC0-31C4-47D6-8C26-FAD1A0081155}"/>
    <hyperlink ref="R418" r:id="rId135" xr:uid="{B39678BE-1A71-4824-8CE0-5F1D29CE4611}"/>
    <hyperlink ref="R417" r:id="rId136" xr:uid="{43CEDD95-655D-4FCF-952C-036D300C0FD0}"/>
    <hyperlink ref="R416" r:id="rId137" xr:uid="{4BB0A6BF-10A4-4F19-82EC-01D6EC7D65F5}"/>
    <hyperlink ref="R409" r:id="rId138" xr:uid="{44D176AE-CFF2-4DD3-A3D1-3426A3110F4D}"/>
    <hyperlink ref="R408" r:id="rId139" xr:uid="{2C203542-8234-425C-9B9C-99CE2FF048AD}"/>
    <hyperlink ref="R407" r:id="rId140" xr:uid="{0FB60246-D2D4-4173-9428-863ECFA551B6}"/>
    <hyperlink ref="R406" r:id="rId141" xr:uid="{B4D6238B-AB16-45DD-81EC-325B928B1CEE}"/>
    <hyperlink ref="R405" r:id="rId142" xr:uid="{4E659CDC-2FB7-470A-BC0A-4024CB7F4818}"/>
    <hyperlink ref="R404" r:id="rId143" xr:uid="{90C7701B-78B8-440B-94D0-7A8C23EBB981}"/>
    <hyperlink ref="R403" r:id="rId144" xr:uid="{FF0F1217-0100-4460-A7FF-E7FA28094A3D}"/>
    <hyperlink ref="R402" r:id="rId145" xr:uid="{A0B32D80-94F2-4303-A177-4C4D73A85497}"/>
    <hyperlink ref="R401" r:id="rId146" xr:uid="{C9252A1E-64BE-49CD-B608-EEB2231C3F81}"/>
    <hyperlink ref="R400" r:id="rId147" xr:uid="{AE331C29-A0D3-4BDF-A634-1708CA8F3841}"/>
    <hyperlink ref="R399" r:id="rId148" xr:uid="{92D96C1B-ED9F-459F-BE90-2F69B4110F1B}"/>
    <hyperlink ref="R398" r:id="rId149" xr:uid="{92FE19CB-AD50-4484-A61D-5D5A0F870451}"/>
    <hyperlink ref="R397" r:id="rId150" xr:uid="{FDE0ED5E-7E80-4441-B1E9-50D7C203060D}"/>
    <hyperlink ref="R396" r:id="rId151" xr:uid="{7C9C380B-194B-45F6-9EA0-D907F4C992F2}"/>
    <hyperlink ref="R395" r:id="rId152" xr:uid="{E0B85ABB-DCAD-4CF8-900A-00BDC45E00AB}"/>
    <hyperlink ref="R12" r:id="rId153" xr:uid="{702074F6-3389-4CC5-946A-760317F689A0}"/>
    <hyperlink ref="R294" r:id="rId154" xr:uid="{B8BBB48A-D8B1-4F17-BACA-ADADFDAA09B3}"/>
    <hyperlink ref="R293" r:id="rId155" xr:uid="{252772AB-5FC8-465D-B8DC-D0535FC99B5D}"/>
    <hyperlink ref="R292" r:id="rId156" xr:uid="{04DCA3A5-1DD8-4605-9AD0-6DB6936CA1FB}"/>
    <hyperlink ref="R291" r:id="rId157" xr:uid="{64376B96-86A4-4DCA-A7F7-3FCDB53A5723}"/>
    <hyperlink ref="R290" r:id="rId158" xr:uid="{3E6B540F-2CB8-4DB4-A731-E045ED0CDA03}"/>
    <hyperlink ref="R289" r:id="rId159" xr:uid="{7F4F5C0B-5234-4808-9446-C94E3DFE167F}"/>
    <hyperlink ref="R288" r:id="rId160" xr:uid="{F8D023D4-904D-4A9A-9330-5C3DC1C23A7C}"/>
    <hyperlink ref="R287" r:id="rId161" xr:uid="{8F71C4F1-0CC1-49FA-BA6B-C6737A6AF3D3}"/>
    <hyperlink ref="R286" r:id="rId162" xr:uid="{DF9BDC2C-D65E-4D5E-8864-5FDF3C6239D8}"/>
    <hyperlink ref="R285" r:id="rId163" xr:uid="{8E6723FC-896D-428A-A2D7-E473AFEE556E}"/>
    <hyperlink ref="R284" r:id="rId164" xr:uid="{720B7154-208D-4F9F-97DA-B7F6F9C1A269}"/>
    <hyperlink ref="R283" r:id="rId165" xr:uid="{AF4DE589-0451-4BC4-9ADF-B67EE7B2FB82}"/>
    <hyperlink ref="R282" r:id="rId166" xr:uid="{EF2A3EF8-3AE3-4784-BF72-826C41487FA3}"/>
    <hyperlink ref="R281" r:id="rId167" xr:uid="{6435EEC7-EA44-471A-8D8E-0BEF60FFEC01}"/>
    <hyperlink ref="R280" r:id="rId168" xr:uid="{1542EA9A-A298-4700-9E89-EEE6641FA1B8}"/>
    <hyperlink ref="R279" r:id="rId169" xr:uid="{6A47925D-90D0-42C1-8ED1-B8502B454F84}"/>
    <hyperlink ref="R278" r:id="rId170" xr:uid="{7C89A38B-7B04-4D0E-A219-3915A1B33EBD}"/>
    <hyperlink ref="R277" r:id="rId171" xr:uid="{1D4DD5A3-34F6-41F4-8DA3-77542F6EAE6C}"/>
    <hyperlink ref="R276" r:id="rId172" xr:uid="{FA487FC6-97DD-481A-84C7-8798DEDC5E1C}"/>
    <hyperlink ref="R275" r:id="rId173" xr:uid="{1C960789-E0E2-438E-AA6D-A50B39ED069D}"/>
    <hyperlink ref="R274" r:id="rId174" xr:uid="{09BAE38F-7320-42E7-8208-96C6F60765C6}"/>
    <hyperlink ref="R273" r:id="rId175" xr:uid="{88E85E18-1817-4B69-8989-E420A5E772F1}"/>
    <hyperlink ref="R272" r:id="rId176" xr:uid="{0B3B241A-157B-43FA-8AC4-452686E3571F}"/>
    <hyperlink ref="R271" r:id="rId177" xr:uid="{127DAD53-D2C3-4CF1-A7FB-7439623994CE}"/>
    <hyperlink ref="R270" r:id="rId178" xr:uid="{4BC79214-512F-4F9D-8D91-36D2A4ED0AC6}"/>
    <hyperlink ref="R269" r:id="rId179" xr:uid="{29F280D4-F2A0-4C21-8FC5-36A7E4E01A52}"/>
    <hyperlink ref="R268" r:id="rId180" xr:uid="{E9F6EA20-4984-4BAC-BB10-A776A8D86F95}"/>
    <hyperlink ref="R267" r:id="rId181" xr:uid="{FF7BD94F-03F7-478A-BBB1-4D3139E38CF6}"/>
    <hyperlink ref="R266" r:id="rId182" xr:uid="{9CF0EA62-D523-4A7C-829F-E878A37A641A}"/>
    <hyperlink ref="R265" r:id="rId183" xr:uid="{04084A10-17C6-4FC5-ABB4-54A2AD28416D}"/>
    <hyperlink ref="R264" r:id="rId184" xr:uid="{292836E4-9327-418B-9592-1C039F600062}"/>
    <hyperlink ref="R263" r:id="rId185" xr:uid="{6D8AF681-9EC9-41BC-8AD5-7D4110529267}"/>
    <hyperlink ref="R262" r:id="rId186" xr:uid="{BC2CF4AA-F752-462F-AB0D-FDC1C5080651}"/>
    <hyperlink ref="R261" r:id="rId187" xr:uid="{7FB5DE52-9A31-4CF7-9086-ECE11834F301}"/>
    <hyperlink ref="R260" r:id="rId188" xr:uid="{DF2E8963-5D8F-49E1-9C8E-26E37053AE45}"/>
    <hyperlink ref="R259" r:id="rId189" xr:uid="{B9E886DF-B905-486A-BD21-3BA59CFA8502}"/>
    <hyperlink ref="R258" r:id="rId190" xr:uid="{995BCF3C-9F05-4D2C-900F-01503870D2D3}"/>
    <hyperlink ref="R257" r:id="rId191" xr:uid="{265E0B1A-7962-4ED3-8F71-86DC2F4BAAFD}"/>
    <hyperlink ref="R256" r:id="rId192" xr:uid="{A8480089-6050-4FF1-83C2-7B033E59FCF0}"/>
    <hyperlink ref="R255" r:id="rId193" xr:uid="{00946CB9-5D2A-4A1B-847A-A9BB6DB52BF6}"/>
    <hyperlink ref="R254" r:id="rId194" xr:uid="{5AFCE738-6BF5-41F4-A3E5-21D9EDE04E1F}"/>
    <hyperlink ref="R253" r:id="rId195" xr:uid="{B1D494ED-E1AC-4C24-98C4-4D29740350AF}"/>
    <hyperlink ref="R252" r:id="rId196" xr:uid="{CAA2F4E7-FCC6-472D-B76D-AF7EE0DE2751}"/>
    <hyperlink ref="R251" r:id="rId197" xr:uid="{B2F2CC6D-74C7-408A-8482-4A38BF4D16EA}"/>
    <hyperlink ref="R250" r:id="rId198" xr:uid="{277EEA6A-9411-4EDC-B86B-C5E0F2867376}"/>
    <hyperlink ref="R249" r:id="rId199" xr:uid="{7C692A86-E3D7-4525-B3BF-0978188428E4}"/>
    <hyperlink ref="R248" r:id="rId200" xr:uid="{41897227-8E81-4B4A-8A4E-C0538B4F0788}"/>
    <hyperlink ref="R247" r:id="rId201" xr:uid="{8E73F864-FE91-48EF-A15C-A9D3EE5BCC92}"/>
    <hyperlink ref="R246" r:id="rId202" xr:uid="{7BF8D769-C2ED-4EDE-A70E-1375F4F4C6C4}"/>
    <hyperlink ref="R245" r:id="rId203" xr:uid="{84780497-C4CA-4615-86E2-EA25535B6B3D}"/>
    <hyperlink ref="R244" r:id="rId204" xr:uid="{40B8DE3D-ED70-43F1-B7B9-2504488E9154}"/>
    <hyperlink ref="R243" r:id="rId205" xr:uid="{F14232D8-8D7A-42A3-9D55-27457895F30F}"/>
    <hyperlink ref="R242" r:id="rId206" xr:uid="{687C8D2E-2E82-427C-8137-83B7CC80C87B}"/>
    <hyperlink ref="R241" r:id="rId207" xr:uid="{76CA131D-A258-4168-B143-332A288D59F9}"/>
    <hyperlink ref="R240" r:id="rId208" xr:uid="{15501BB7-90F6-414A-B7B6-D50BF7118178}"/>
    <hyperlink ref="R239" r:id="rId209" xr:uid="{B1C9F371-E52C-4B60-9FD0-8974B5196018}"/>
    <hyperlink ref="R238" r:id="rId210" xr:uid="{FF47FFC6-BCD1-4889-9DB7-B046F9A9342D}"/>
    <hyperlink ref="R237" r:id="rId211" xr:uid="{001B50A9-DC61-4D10-9156-26171AAB6A73}"/>
    <hyperlink ref="R236" r:id="rId212" xr:uid="{B0934220-5D28-409E-A98D-1A164947E610}"/>
    <hyperlink ref="R235" r:id="rId213" xr:uid="{3984944A-B911-4301-9453-72A00E433713}"/>
    <hyperlink ref="R234" r:id="rId214" xr:uid="{2EDA4F1D-62A9-470C-AE9A-A0439CC08B07}"/>
    <hyperlink ref="R233" r:id="rId215" xr:uid="{D651DBA4-95A0-4949-A634-C5B3647E9E3D}"/>
    <hyperlink ref="R232" r:id="rId216" xr:uid="{49455A71-6E39-4E2A-A50F-7002FAB3380E}"/>
    <hyperlink ref="R231" r:id="rId217" xr:uid="{2B95FCDF-F197-4854-B5CA-C053644D031A}"/>
    <hyperlink ref="R230" r:id="rId218" xr:uid="{0E869FEF-B5C4-4990-B544-AD1A7C9AD4F8}"/>
    <hyperlink ref="R229" r:id="rId219" xr:uid="{F403C7CA-7054-42B1-8B9D-7C98547E0D2F}"/>
    <hyperlink ref="R228" r:id="rId220" xr:uid="{2446534B-D43E-4A40-A3B0-DD1DAD3FDCF9}"/>
    <hyperlink ref="R227" r:id="rId221" xr:uid="{A5A19BB9-A5C1-4D6B-8703-E61B84BADBD3}"/>
    <hyperlink ref="R226" r:id="rId222" xr:uid="{ACBB5DE8-61EA-40FA-A106-F1BFE4AD1B12}"/>
    <hyperlink ref="R225" r:id="rId223" xr:uid="{1714E3B5-6E33-475F-B317-318DC2CBBD1B}"/>
    <hyperlink ref="R224" r:id="rId224" xr:uid="{2DC50A98-46C8-4C17-88D2-FC7676A43736}"/>
    <hyperlink ref="R222" r:id="rId225" xr:uid="{40D22C3A-57EA-4CCE-B5E6-89D95CF502EE}"/>
    <hyperlink ref="R221" r:id="rId226" xr:uid="{A61C4E27-72A4-468A-BFBD-A1290334CE38}"/>
    <hyperlink ref="R220" r:id="rId227" xr:uid="{5EED24B3-F232-4CEF-A767-7707B67B300B}"/>
    <hyperlink ref="R219" r:id="rId228" xr:uid="{57B3EF50-450A-470C-A3FB-1A1BD83AE517}"/>
    <hyperlink ref="R218" r:id="rId229" xr:uid="{765595DD-AD33-4CE8-BF64-09A770478E68}"/>
    <hyperlink ref="R217" r:id="rId230" xr:uid="{B9BC2911-D8F5-4450-A24C-72394D96C0D4}"/>
    <hyperlink ref="R216" r:id="rId231" xr:uid="{21A03AF1-876C-491C-935B-F1616ADEB350}"/>
    <hyperlink ref="R215" r:id="rId232" xr:uid="{0C23376D-3420-415F-9EC2-55E7DA23DE46}"/>
    <hyperlink ref="R214" r:id="rId233" xr:uid="{FDD969A2-07D9-499E-8B45-5ED9CED14838}"/>
    <hyperlink ref="R213" r:id="rId234" xr:uid="{C7982BCD-C373-417F-94D5-B8E8E148EC00}"/>
    <hyperlink ref="R212" r:id="rId235" xr:uid="{DF0EAC4D-F891-4195-BBB5-6F094BEFC0ED}"/>
    <hyperlink ref="R211" r:id="rId236" xr:uid="{BE3C9590-A7CF-4E02-B0BC-8DDE507130D2}"/>
    <hyperlink ref="R210" r:id="rId237" xr:uid="{2BD97686-14B9-4A8C-BB1C-B476CC2C1101}"/>
    <hyperlink ref="R209" r:id="rId238" xr:uid="{543B5882-DB06-4094-8A9E-7DF190C4D2A9}"/>
    <hyperlink ref="R208" r:id="rId239" xr:uid="{ACCB1F43-156B-475A-8310-F05D247CB9CE}"/>
    <hyperlink ref="R207" r:id="rId240" xr:uid="{63C8B989-A3A4-48C9-B430-4F35E2738019}"/>
    <hyperlink ref="R206" r:id="rId241" xr:uid="{065785D0-5295-4506-950F-8835075CB61B}"/>
    <hyperlink ref="R205" r:id="rId242" xr:uid="{1018956C-1F40-443C-966F-9A214EA9FEC3}"/>
    <hyperlink ref="R204" r:id="rId243" xr:uid="{A13BB867-BB0E-48BD-ACB2-9E09FCAAA129}"/>
    <hyperlink ref="R203" r:id="rId244" xr:uid="{E270F125-B22D-4F34-BFDE-EE526A50AC95}"/>
    <hyperlink ref="R202" r:id="rId245" xr:uid="{8C9BA755-3826-4B0D-9F7B-55A76657A4ED}"/>
    <hyperlink ref="R201" r:id="rId246" xr:uid="{BE5D5D42-9CF7-4D5F-9571-6431E19EEDAD}"/>
    <hyperlink ref="R200" r:id="rId247" xr:uid="{F76B9F2C-0575-4101-BA06-EF419DC04C04}"/>
    <hyperlink ref="R199" r:id="rId248" xr:uid="{A0DB8719-7A81-44CB-A752-C060326EC9E6}"/>
    <hyperlink ref="R198" r:id="rId249" xr:uid="{A8B37F36-65B0-4C59-BFFB-16320797031D}"/>
    <hyperlink ref="R197" r:id="rId250" xr:uid="{3FEF6761-A65D-4327-BFA7-26474BC45D68}"/>
    <hyperlink ref="R196" r:id="rId251" xr:uid="{6FE2F804-2C70-4086-8ED8-9EAA6CD4CEC5}"/>
    <hyperlink ref="R195" r:id="rId252" xr:uid="{86FEB5EC-4A1E-4426-8DD3-7574850525D3}"/>
    <hyperlink ref="R394" r:id="rId253" xr:uid="{99FCD88A-C081-4605-95B2-067326F86015}"/>
    <hyperlink ref="R393" r:id="rId254" xr:uid="{D1377DC5-D764-4994-8ABA-DAD4D22FE219}"/>
    <hyperlink ref="R392" r:id="rId255" xr:uid="{46CD1A64-8BE7-499C-A416-6E1BB7F75762}"/>
    <hyperlink ref="R391" r:id="rId256" xr:uid="{4ABE6258-F73F-4E1C-9D84-BD079956FC7C}"/>
    <hyperlink ref="R390" r:id="rId257" xr:uid="{85981479-B537-448A-B621-B174BB7C0A2B}"/>
    <hyperlink ref="R389" r:id="rId258" xr:uid="{EDC2DA38-CE0E-4BF3-869F-8545D140492E}"/>
    <hyperlink ref="R388" r:id="rId259" xr:uid="{F83F6A12-5C03-4DD9-81EC-BD29516B4B59}"/>
    <hyperlink ref="R386" r:id="rId260" xr:uid="{8AAFAC29-DD6D-41B5-BFBE-5AEE6D6E443B}"/>
    <hyperlink ref="R385" r:id="rId261" xr:uid="{9C2E5AE3-30EC-4CD6-8AAC-C301081CF122}"/>
    <hyperlink ref="R384" r:id="rId262" xr:uid="{4C3922C7-6701-425D-93CB-F627C6587181}"/>
    <hyperlink ref="R383" r:id="rId263" xr:uid="{65A9CF25-565D-4530-A6EE-65BB35B0BED2}"/>
    <hyperlink ref="R382" r:id="rId264" xr:uid="{51FE6660-5CB7-4572-8224-8F5A30FBCF4A}"/>
    <hyperlink ref="R381" r:id="rId265" xr:uid="{8EC88857-27CD-4145-ABB9-59DD701A10E6}"/>
    <hyperlink ref="R380" r:id="rId266" xr:uid="{2AF7ACE4-2D17-42E0-8ACD-80E1A53C1D1F}"/>
    <hyperlink ref="R379" r:id="rId267" xr:uid="{18EEAC69-B230-498C-ADD0-DE8116D9A09B}"/>
    <hyperlink ref="R378" r:id="rId268" xr:uid="{04887D70-4D65-45F7-A89A-225828698FCC}"/>
    <hyperlink ref="R377" r:id="rId269" xr:uid="{1333F38B-476B-4753-9739-3AF609D07933}"/>
    <hyperlink ref="R376" r:id="rId270" xr:uid="{2CA0605E-9F63-45E0-B89D-A959D3B8F556}"/>
    <hyperlink ref="R375" r:id="rId271" xr:uid="{A672CEC2-D650-4892-A59B-E2241494342A}"/>
    <hyperlink ref="R374" r:id="rId272" xr:uid="{9F5C7C1B-6875-4A05-9174-1B871C15012C}"/>
    <hyperlink ref="R373" r:id="rId273" xr:uid="{A9BC7C31-4A79-485B-82C2-16F69581AF41}"/>
    <hyperlink ref="R372" r:id="rId274" xr:uid="{EA7E59C8-F437-40EE-A78E-70296133BB7E}"/>
    <hyperlink ref="R371" r:id="rId275" xr:uid="{21C602DF-692A-438C-9FA1-C1F7C152E014}"/>
    <hyperlink ref="R370" r:id="rId276" xr:uid="{0468B021-46C4-496B-8FC2-CFC49A3FB167}"/>
    <hyperlink ref="R369" r:id="rId277" xr:uid="{C4FB7C9D-1C0C-4AD6-8EC5-0AFAF501709B}"/>
    <hyperlink ref="R368" r:id="rId278" xr:uid="{423C76E2-7643-4668-8F87-6CCD9357C414}"/>
    <hyperlink ref="R367" r:id="rId279" xr:uid="{C4881DE5-0DF3-44F9-BB6A-30269E483D89}"/>
    <hyperlink ref="R366" r:id="rId280" xr:uid="{1E91D3BD-EABB-4F94-9D9E-CDC8977EFC44}"/>
    <hyperlink ref="R365" r:id="rId281" xr:uid="{AE69728F-E4B8-4821-BFD9-FAF9F9BEA863}"/>
    <hyperlink ref="R364" r:id="rId282" xr:uid="{261D0C03-BA1C-4855-B414-E21E2C848FEB}"/>
    <hyperlink ref="R363" r:id="rId283" xr:uid="{3AF3B099-4DAF-4C42-A690-AA71B900C974}"/>
    <hyperlink ref="R362" r:id="rId284" xr:uid="{9635B13E-DCF5-4070-AD1D-BF8E61026837}"/>
    <hyperlink ref="R361" r:id="rId285" xr:uid="{35473627-41FC-46E3-8C7A-E665A18D3140}"/>
    <hyperlink ref="R360" r:id="rId286" xr:uid="{7AC19A07-CCCF-4F3B-926E-BCBD83EB2057}"/>
    <hyperlink ref="R359" r:id="rId287" xr:uid="{AD3780F8-0B35-4A23-A501-51ED75A10228}"/>
    <hyperlink ref="R358" r:id="rId288" xr:uid="{3BA33D87-ACDF-4AE4-BC10-702A387DE953}"/>
    <hyperlink ref="R357" r:id="rId289" xr:uid="{6C4278CF-73D0-4598-B54C-48F6FB7AF3A8}"/>
    <hyperlink ref="R355" r:id="rId290" xr:uid="{E6EC2BF3-A05E-4CF9-9885-FDB0CD97BA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10CC-FFE4-4A11-9C87-86EE004FA898}">
  <sheetPr>
    <tabColor theme="8" tint="0.79998168889431442"/>
  </sheetPr>
  <dimension ref="B1:AM84"/>
  <sheetViews>
    <sheetView showGridLines="0" workbookViewId="0">
      <selection activeCell="F7" sqref="F7"/>
    </sheetView>
  </sheetViews>
  <sheetFormatPr defaultRowHeight="15" x14ac:dyDescent="0.25"/>
  <cols>
    <col min="2" max="2" width="16" bestFit="1" customWidth="1"/>
    <col min="3" max="3" width="26.28515625" bestFit="1" customWidth="1"/>
    <col min="4" max="4" width="11.85546875" bestFit="1" customWidth="1"/>
    <col min="5" max="5" width="36.7109375" bestFit="1" customWidth="1"/>
    <col min="6" max="6" width="15" bestFit="1" customWidth="1"/>
    <col min="7" max="7" width="17.85546875" bestFit="1" customWidth="1"/>
    <col min="8" max="8" width="16.85546875" bestFit="1" customWidth="1"/>
    <col min="9" max="9" width="19.7109375" bestFit="1" customWidth="1"/>
    <col min="10" max="10" width="16.7109375" bestFit="1" customWidth="1"/>
    <col min="11" max="11" width="16.7109375" customWidth="1"/>
    <col min="12" max="12" width="11.85546875" bestFit="1" customWidth="1"/>
    <col min="13" max="13" width="36.7109375" bestFit="1" customWidth="1"/>
    <col min="14" max="14" width="15.85546875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7.28515625" bestFit="1" customWidth="1"/>
    <col min="19" max="19" width="10.7109375" bestFit="1" customWidth="1"/>
    <col min="20" max="20" width="4.42578125" customWidth="1"/>
    <col min="21" max="21" width="3.5703125" customWidth="1"/>
    <col min="22" max="22" width="39" bestFit="1" customWidth="1"/>
    <col min="23" max="23" width="20.5703125" customWidth="1"/>
    <col min="24" max="24" width="3.42578125" customWidth="1"/>
    <col min="25" max="25" width="22.42578125" bestFit="1" customWidth="1"/>
    <col min="26" max="26" width="21.42578125" bestFit="1" customWidth="1"/>
    <col min="27" max="27" width="20.7109375" bestFit="1" customWidth="1"/>
    <col min="29" max="29" width="16" bestFit="1" customWidth="1"/>
    <col min="30" max="30" width="3.28515625" customWidth="1"/>
    <col min="31" max="31" width="26.5703125" bestFit="1" customWidth="1"/>
    <col min="32" max="32" width="16.140625" bestFit="1" customWidth="1"/>
    <col min="33" max="33" width="11.85546875" bestFit="1" customWidth="1"/>
    <col min="34" max="34" width="38.28515625" bestFit="1" customWidth="1"/>
    <col min="35" max="35" width="19.5703125" bestFit="1" customWidth="1"/>
    <col min="36" max="36" width="20.140625" bestFit="1" customWidth="1"/>
    <col min="37" max="37" width="7.42578125" bestFit="1" customWidth="1"/>
    <col min="38" max="38" width="13.85546875" bestFit="1" customWidth="1"/>
    <col min="39" max="39" width="19.7109375" bestFit="1" customWidth="1"/>
  </cols>
  <sheetData>
    <row r="1" spans="2:39" x14ac:dyDescent="0.25">
      <c r="N1" s="71"/>
    </row>
    <row r="2" spans="2:39" x14ac:dyDescent="0.25">
      <c r="B2" s="137" t="s">
        <v>359</v>
      </c>
      <c r="C2" s="137"/>
      <c r="D2" s="137"/>
      <c r="E2" s="137"/>
      <c r="F2" s="137"/>
      <c r="G2" s="137"/>
      <c r="H2" s="137"/>
      <c r="I2" s="137"/>
      <c r="J2" s="137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C2" s="136" t="s">
        <v>362</v>
      </c>
      <c r="AD2" s="136"/>
      <c r="AE2" s="136"/>
      <c r="AF2" s="136"/>
      <c r="AG2" s="136"/>
      <c r="AH2" s="136"/>
      <c r="AI2" s="136"/>
      <c r="AJ2" s="136"/>
      <c r="AK2" s="136"/>
      <c r="AL2" s="136"/>
      <c r="AM2" s="136"/>
    </row>
    <row r="3" spans="2:39" x14ac:dyDescent="0.25">
      <c r="B3" s="82"/>
      <c r="C3" s="82"/>
      <c r="D3" s="82"/>
      <c r="E3" s="82"/>
      <c r="F3" s="95"/>
      <c r="G3" s="95"/>
      <c r="H3" s="95"/>
      <c r="I3" s="95"/>
      <c r="J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</row>
    <row r="4" spans="2:39" x14ac:dyDescent="0.25">
      <c r="B4" s="14" t="s">
        <v>0</v>
      </c>
      <c r="C4" s="14" t="s">
        <v>1</v>
      </c>
      <c r="D4" s="14" t="s">
        <v>2</v>
      </c>
      <c r="E4" s="14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90" t="s">
        <v>8</v>
      </c>
      <c r="K4" s="91"/>
      <c r="L4" s="14" t="s">
        <v>2</v>
      </c>
      <c r="M4" s="14" t="s">
        <v>3</v>
      </c>
      <c r="N4" s="14" t="s">
        <v>69</v>
      </c>
      <c r="O4" s="14" t="s">
        <v>70</v>
      </c>
      <c r="P4" s="14" t="s">
        <v>71</v>
      </c>
      <c r="Q4" s="14" t="s">
        <v>72</v>
      </c>
      <c r="R4" s="14" t="s">
        <v>73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79</v>
      </c>
      <c r="Y4" s="15" t="s">
        <v>80</v>
      </c>
      <c r="Z4" s="15" t="s">
        <v>81</v>
      </c>
      <c r="AA4" s="16" t="s">
        <v>82</v>
      </c>
      <c r="AC4" s="46" t="s">
        <v>344</v>
      </c>
      <c r="AD4" s="46" t="s">
        <v>345</v>
      </c>
      <c r="AE4" s="46" t="s">
        <v>346</v>
      </c>
      <c r="AF4" s="14" t="s">
        <v>347</v>
      </c>
      <c r="AG4" s="14" t="s">
        <v>2</v>
      </c>
      <c r="AH4" s="14" t="s">
        <v>3</v>
      </c>
      <c r="AI4" s="14" t="s">
        <v>348</v>
      </c>
      <c r="AJ4" s="14" t="s">
        <v>349</v>
      </c>
      <c r="AK4" s="14" t="s">
        <v>350</v>
      </c>
      <c r="AL4" s="15" t="s">
        <v>351</v>
      </c>
      <c r="AM4" s="16" t="s">
        <v>352</v>
      </c>
    </row>
    <row r="5" spans="2:39" x14ac:dyDescent="0.25">
      <c r="B5" s="2" t="s">
        <v>9</v>
      </c>
      <c r="C5" s="8" t="s">
        <v>17</v>
      </c>
      <c r="D5" s="3" t="s">
        <v>368</v>
      </c>
      <c r="E5" s="3" t="s">
        <v>369</v>
      </c>
      <c r="F5" s="4">
        <v>0</v>
      </c>
      <c r="G5" s="4">
        <v>2116.87</v>
      </c>
      <c r="H5" s="4">
        <v>2116.87</v>
      </c>
      <c r="I5" s="4">
        <v>14133</v>
      </c>
      <c r="J5" s="21">
        <v>-16249.87</v>
      </c>
      <c r="K5" s="92"/>
      <c r="L5" s="23" t="s">
        <v>368</v>
      </c>
      <c r="M5" s="23" t="s">
        <v>369</v>
      </c>
      <c r="N5" s="24">
        <v>45845</v>
      </c>
      <c r="O5" s="25" t="s">
        <v>93</v>
      </c>
      <c r="P5" s="25" t="s">
        <v>1397</v>
      </c>
      <c r="Q5" s="25" t="s">
        <v>95</v>
      </c>
      <c r="R5" s="25" t="s">
        <v>87</v>
      </c>
      <c r="S5" s="24">
        <v>45845</v>
      </c>
      <c r="T5" s="25" t="s">
        <v>83</v>
      </c>
      <c r="U5" s="25" t="s">
        <v>83</v>
      </c>
      <c r="V5" s="25" t="s">
        <v>96</v>
      </c>
      <c r="W5" s="52" t="s">
        <v>83</v>
      </c>
      <c r="X5" s="52" t="s">
        <v>83</v>
      </c>
      <c r="Y5" s="53">
        <v>0</v>
      </c>
      <c r="Z5" s="53">
        <v>0</v>
      </c>
      <c r="AA5" s="5">
        <v>16250</v>
      </c>
      <c r="AC5" s="23" t="s">
        <v>9</v>
      </c>
      <c r="AD5" s="23" t="s">
        <v>83</v>
      </c>
      <c r="AE5" s="23" t="s">
        <v>1458</v>
      </c>
      <c r="AF5" s="23" t="s">
        <v>1459</v>
      </c>
      <c r="AG5" s="23" t="s">
        <v>368</v>
      </c>
      <c r="AH5" s="23" t="s">
        <v>369</v>
      </c>
      <c r="AI5" s="24">
        <v>45844</v>
      </c>
      <c r="AJ5" s="25" t="s">
        <v>99</v>
      </c>
      <c r="AK5" s="26">
        <v>0.5</v>
      </c>
      <c r="AL5" s="26">
        <v>8</v>
      </c>
      <c r="AM5" s="27">
        <v>249.04</v>
      </c>
    </row>
    <row r="6" spans="2:39" x14ac:dyDescent="0.25">
      <c r="B6" s="2"/>
      <c r="C6" s="8"/>
      <c r="D6" s="3" t="s">
        <v>20</v>
      </c>
      <c r="E6" s="3" t="s">
        <v>21</v>
      </c>
      <c r="F6" s="4">
        <v>0</v>
      </c>
      <c r="G6" s="4">
        <v>10614.12</v>
      </c>
      <c r="H6" s="4">
        <v>10614.12</v>
      </c>
      <c r="I6" s="4">
        <v>0</v>
      </c>
      <c r="J6" s="21">
        <v>-10614.12</v>
      </c>
      <c r="K6" s="92"/>
      <c r="L6" s="28"/>
      <c r="M6" s="28"/>
      <c r="N6" s="58">
        <v>45854</v>
      </c>
      <c r="O6" s="25" t="s">
        <v>93</v>
      </c>
      <c r="P6" s="25" t="s">
        <v>1398</v>
      </c>
      <c r="Q6" s="25" t="s">
        <v>98</v>
      </c>
      <c r="R6" s="25" t="s">
        <v>87</v>
      </c>
      <c r="S6" s="24">
        <v>45854</v>
      </c>
      <c r="T6" s="25" t="s">
        <v>83</v>
      </c>
      <c r="U6" s="25" t="s">
        <v>83</v>
      </c>
      <c r="V6" s="25" t="s">
        <v>96</v>
      </c>
      <c r="W6" s="52" t="s">
        <v>83</v>
      </c>
      <c r="X6" s="52" t="s">
        <v>83</v>
      </c>
      <c r="Y6" s="53">
        <v>0</v>
      </c>
      <c r="Z6" s="53">
        <v>0</v>
      </c>
      <c r="AA6" s="5">
        <v>-249</v>
      </c>
      <c r="AC6" s="28"/>
      <c r="AD6" s="28"/>
      <c r="AE6" s="28"/>
      <c r="AF6" s="28"/>
      <c r="AG6" s="28"/>
      <c r="AH6" s="28"/>
      <c r="AI6" s="24">
        <v>45858</v>
      </c>
      <c r="AJ6" s="25" t="s">
        <v>99</v>
      </c>
      <c r="AK6" s="26">
        <v>0.5</v>
      </c>
      <c r="AL6" s="26">
        <v>20</v>
      </c>
      <c r="AM6" s="27">
        <v>622.61</v>
      </c>
    </row>
    <row r="7" spans="2:39" x14ac:dyDescent="0.25">
      <c r="B7" s="2"/>
      <c r="C7" s="8"/>
      <c r="D7" s="3" t="s">
        <v>370</v>
      </c>
      <c r="E7" s="3" t="s">
        <v>371</v>
      </c>
      <c r="F7" s="4">
        <v>0</v>
      </c>
      <c r="G7" s="4">
        <v>3961.42</v>
      </c>
      <c r="H7" s="4">
        <v>3961.42</v>
      </c>
      <c r="I7" s="4">
        <v>0</v>
      </c>
      <c r="J7" s="21">
        <v>-3961.42</v>
      </c>
      <c r="K7" s="92"/>
      <c r="L7" s="28"/>
      <c r="M7" s="28"/>
      <c r="N7" s="59"/>
      <c r="O7" s="25" t="s">
        <v>99</v>
      </c>
      <c r="P7" s="25" t="s">
        <v>1399</v>
      </c>
      <c r="Q7" s="25" t="s">
        <v>95</v>
      </c>
      <c r="R7" s="25" t="s">
        <v>87</v>
      </c>
      <c r="S7" s="24">
        <v>45854</v>
      </c>
      <c r="T7" s="25" t="s">
        <v>83</v>
      </c>
      <c r="U7" s="25" t="s">
        <v>113</v>
      </c>
      <c r="V7" s="25" t="s">
        <v>102</v>
      </c>
      <c r="W7" s="52" t="s">
        <v>83</v>
      </c>
      <c r="X7" s="52" t="s">
        <v>83</v>
      </c>
      <c r="Y7" s="53">
        <v>0</v>
      </c>
      <c r="Z7" s="53">
        <v>249.04</v>
      </c>
      <c r="AA7" s="5">
        <v>0</v>
      </c>
      <c r="AC7" s="28"/>
      <c r="AD7" s="28"/>
      <c r="AE7" s="28"/>
      <c r="AF7" s="28"/>
      <c r="AG7" s="28"/>
      <c r="AH7" s="28"/>
      <c r="AI7" s="24">
        <v>45872</v>
      </c>
      <c r="AJ7" s="25" t="s">
        <v>99</v>
      </c>
      <c r="AK7" s="26">
        <v>0.5</v>
      </c>
      <c r="AL7" s="26">
        <v>20</v>
      </c>
      <c r="AM7" s="27">
        <v>622.61</v>
      </c>
    </row>
    <row r="8" spans="2:39" x14ac:dyDescent="0.25">
      <c r="B8" s="2"/>
      <c r="C8" s="8"/>
      <c r="D8" s="3" t="s">
        <v>376</v>
      </c>
      <c r="E8" s="3" t="s">
        <v>377</v>
      </c>
      <c r="F8" s="4">
        <v>0</v>
      </c>
      <c r="G8" s="4">
        <v>790.18</v>
      </c>
      <c r="H8" s="4">
        <v>790.18</v>
      </c>
      <c r="I8" s="4">
        <v>1837.29</v>
      </c>
      <c r="J8" s="21">
        <v>-2627.47</v>
      </c>
      <c r="K8" s="92"/>
      <c r="L8" s="28"/>
      <c r="M8" s="28"/>
      <c r="N8" s="58">
        <v>45861</v>
      </c>
      <c r="O8" s="25" t="s">
        <v>93</v>
      </c>
      <c r="P8" s="25" t="s">
        <v>1400</v>
      </c>
      <c r="Q8" s="25" t="s">
        <v>98</v>
      </c>
      <c r="R8" s="25" t="s">
        <v>87</v>
      </c>
      <c r="S8" s="24">
        <v>45861</v>
      </c>
      <c r="T8" s="25" t="s">
        <v>83</v>
      </c>
      <c r="U8" s="25" t="s">
        <v>83</v>
      </c>
      <c r="V8" s="25" t="s">
        <v>96</v>
      </c>
      <c r="W8" s="52" t="s">
        <v>83</v>
      </c>
      <c r="X8" s="52" t="s">
        <v>83</v>
      </c>
      <c r="Y8" s="53">
        <v>0</v>
      </c>
      <c r="Z8" s="53">
        <v>0</v>
      </c>
      <c r="AA8" s="5">
        <v>-623</v>
      </c>
      <c r="AC8" s="28"/>
      <c r="AD8" s="28"/>
      <c r="AE8" s="28"/>
      <c r="AF8" s="28"/>
      <c r="AG8" s="29"/>
      <c r="AH8" s="29"/>
      <c r="AI8" s="24">
        <v>45886</v>
      </c>
      <c r="AJ8" s="25" t="s">
        <v>99</v>
      </c>
      <c r="AK8" s="26">
        <v>0.5</v>
      </c>
      <c r="AL8" s="26">
        <v>20</v>
      </c>
      <c r="AM8" s="27">
        <v>622.61</v>
      </c>
    </row>
    <row r="9" spans="2:39" x14ac:dyDescent="0.25">
      <c r="B9" s="2"/>
      <c r="C9" s="9"/>
      <c r="D9" s="3" t="s">
        <v>22</v>
      </c>
      <c r="E9" s="3" t="s">
        <v>23</v>
      </c>
      <c r="F9" s="4">
        <v>0</v>
      </c>
      <c r="G9" s="4">
        <v>3396.5</v>
      </c>
      <c r="H9" s="4">
        <v>3396.5</v>
      </c>
      <c r="I9" s="4">
        <v>0</v>
      </c>
      <c r="J9" s="21">
        <v>-3396.5</v>
      </c>
      <c r="K9" s="92"/>
      <c r="L9" s="28"/>
      <c r="M9" s="28"/>
      <c r="N9" s="59"/>
      <c r="O9" s="25" t="s">
        <v>99</v>
      </c>
      <c r="P9" s="25" t="s">
        <v>1401</v>
      </c>
      <c r="Q9" s="25" t="s">
        <v>95</v>
      </c>
      <c r="R9" s="25" t="s">
        <v>87</v>
      </c>
      <c r="S9" s="24">
        <v>45861</v>
      </c>
      <c r="T9" s="25" t="s">
        <v>83</v>
      </c>
      <c r="U9" s="25" t="s">
        <v>113</v>
      </c>
      <c r="V9" s="25" t="s">
        <v>102</v>
      </c>
      <c r="W9" s="52" t="s">
        <v>83</v>
      </c>
      <c r="X9" s="52" t="s">
        <v>83</v>
      </c>
      <c r="Y9" s="53">
        <v>0</v>
      </c>
      <c r="Z9" s="53">
        <v>622.61</v>
      </c>
      <c r="AA9" s="5">
        <v>0</v>
      </c>
      <c r="AC9" s="28"/>
      <c r="AD9" s="28"/>
      <c r="AE9" s="28"/>
      <c r="AF9" s="28"/>
      <c r="AG9" s="30" t="s">
        <v>408</v>
      </c>
      <c r="AH9" s="31"/>
      <c r="AI9" s="31"/>
      <c r="AJ9" s="31"/>
      <c r="AK9" s="31"/>
      <c r="AL9" s="32">
        <v>68</v>
      </c>
      <c r="AM9" s="33">
        <v>2116.87</v>
      </c>
    </row>
    <row r="10" spans="2:39" x14ac:dyDescent="0.25">
      <c r="B10" s="2"/>
      <c r="C10" s="8" t="s">
        <v>24</v>
      </c>
      <c r="D10" s="3" t="s">
        <v>380</v>
      </c>
      <c r="E10" s="3" t="s">
        <v>381</v>
      </c>
      <c r="F10" s="4">
        <v>0</v>
      </c>
      <c r="G10" s="4">
        <v>868.34</v>
      </c>
      <c r="H10" s="4">
        <v>868.34</v>
      </c>
      <c r="I10" s="4">
        <v>0</v>
      </c>
      <c r="J10" s="21">
        <v>-868.34</v>
      </c>
      <c r="K10" s="92"/>
      <c r="L10" s="28"/>
      <c r="M10" s="28"/>
      <c r="N10" s="58">
        <v>45875</v>
      </c>
      <c r="O10" s="25" t="s">
        <v>93</v>
      </c>
      <c r="P10" s="25" t="s">
        <v>1402</v>
      </c>
      <c r="Q10" s="25" t="s">
        <v>98</v>
      </c>
      <c r="R10" s="25" t="s">
        <v>87</v>
      </c>
      <c r="S10" s="24">
        <v>45875</v>
      </c>
      <c r="T10" s="25" t="s">
        <v>83</v>
      </c>
      <c r="U10" s="25" t="s">
        <v>83</v>
      </c>
      <c r="V10" s="25" t="s">
        <v>96</v>
      </c>
      <c r="W10" s="52" t="s">
        <v>83</v>
      </c>
      <c r="X10" s="52" t="s">
        <v>83</v>
      </c>
      <c r="Y10" s="53">
        <v>0</v>
      </c>
      <c r="Z10" s="53">
        <v>0</v>
      </c>
      <c r="AA10" s="5">
        <v>-622</v>
      </c>
      <c r="AC10" s="28"/>
      <c r="AD10" s="28"/>
      <c r="AE10" s="28"/>
      <c r="AF10" s="28"/>
      <c r="AG10" s="23" t="s">
        <v>376</v>
      </c>
      <c r="AH10" s="23" t="s">
        <v>377</v>
      </c>
      <c r="AI10" s="24">
        <v>45844</v>
      </c>
      <c r="AJ10" s="25" t="s">
        <v>99</v>
      </c>
      <c r="AK10" s="26">
        <v>0.5</v>
      </c>
      <c r="AL10" s="26">
        <v>0</v>
      </c>
      <c r="AM10" s="27">
        <v>32.380000000000003</v>
      </c>
    </row>
    <row r="11" spans="2:39" x14ac:dyDescent="0.25">
      <c r="B11" s="2"/>
      <c r="C11" s="8"/>
      <c r="D11" s="3" t="s">
        <v>382</v>
      </c>
      <c r="E11" s="3" t="s">
        <v>383</v>
      </c>
      <c r="F11" s="4">
        <v>0</v>
      </c>
      <c r="G11" s="4">
        <v>179.4</v>
      </c>
      <c r="H11" s="4">
        <v>179.4</v>
      </c>
      <c r="I11" s="4">
        <v>0</v>
      </c>
      <c r="J11" s="21">
        <v>-179.4</v>
      </c>
      <c r="K11" s="92"/>
      <c r="L11" s="28"/>
      <c r="M11" s="28"/>
      <c r="N11" s="62"/>
      <c r="O11" s="23" t="s">
        <v>99</v>
      </c>
      <c r="P11" s="23" t="s">
        <v>1403</v>
      </c>
      <c r="Q11" s="23" t="s">
        <v>95</v>
      </c>
      <c r="R11" s="23" t="s">
        <v>87</v>
      </c>
      <c r="S11" s="58">
        <v>45875</v>
      </c>
      <c r="T11" s="23" t="s">
        <v>83</v>
      </c>
      <c r="U11" s="25" t="s">
        <v>113</v>
      </c>
      <c r="V11" s="25" t="s">
        <v>102</v>
      </c>
      <c r="W11" s="52" t="s">
        <v>83</v>
      </c>
      <c r="X11" s="52" t="s">
        <v>83</v>
      </c>
      <c r="Y11" s="53">
        <v>0</v>
      </c>
      <c r="Z11" s="53">
        <v>560.35</v>
      </c>
      <c r="AA11" s="5">
        <v>0</v>
      </c>
      <c r="AC11" s="28"/>
      <c r="AD11" s="28"/>
      <c r="AE11" s="28"/>
      <c r="AF11" s="28"/>
      <c r="AG11" s="28"/>
      <c r="AH11" s="28"/>
      <c r="AI11" s="24">
        <v>45858</v>
      </c>
      <c r="AJ11" s="25" t="s">
        <v>99</v>
      </c>
      <c r="AK11" s="26">
        <v>0.5</v>
      </c>
      <c r="AL11" s="26">
        <v>0</v>
      </c>
      <c r="AM11" s="27">
        <v>80.94</v>
      </c>
    </row>
    <row r="12" spans="2:39" x14ac:dyDescent="0.25">
      <c r="B12" s="2"/>
      <c r="C12" s="9"/>
      <c r="D12" s="3" t="s">
        <v>37</v>
      </c>
      <c r="E12" s="3" t="s">
        <v>38</v>
      </c>
      <c r="F12" s="4">
        <v>0</v>
      </c>
      <c r="G12" s="4">
        <v>1551.28</v>
      </c>
      <c r="H12" s="4">
        <v>1551.28</v>
      </c>
      <c r="I12" s="4">
        <v>258.66000000000003</v>
      </c>
      <c r="J12" s="21">
        <v>-1809.94</v>
      </c>
      <c r="K12" s="92"/>
      <c r="L12" s="28"/>
      <c r="M12" s="28"/>
      <c r="N12" s="59"/>
      <c r="O12" s="29"/>
      <c r="P12" s="29"/>
      <c r="Q12" s="29"/>
      <c r="R12" s="29"/>
      <c r="S12" s="59"/>
      <c r="T12" s="29"/>
      <c r="U12" s="25" t="s">
        <v>342</v>
      </c>
      <c r="V12" s="25" t="s">
        <v>102</v>
      </c>
      <c r="W12" s="52" t="s">
        <v>83</v>
      </c>
      <c r="X12" s="52" t="s">
        <v>83</v>
      </c>
      <c r="Y12" s="53">
        <v>0</v>
      </c>
      <c r="Z12" s="53">
        <v>62.26</v>
      </c>
      <c r="AA12" s="5">
        <v>0</v>
      </c>
      <c r="AC12" s="28"/>
      <c r="AD12" s="28"/>
      <c r="AE12" s="28"/>
      <c r="AF12" s="28"/>
      <c r="AG12" s="28"/>
      <c r="AH12" s="28"/>
      <c r="AI12" s="24">
        <v>45872</v>
      </c>
      <c r="AJ12" s="25" t="s">
        <v>99</v>
      </c>
      <c r="AK12" s="26">
        <v>0.5</v>
      </c>
      <c r="AL12" s="26">
        <v>0</v>
      </c>
      <c r="AM12" s="27">
        <v>80.94</v>
      </c>
    </row>
    <row r="13" spans="2:39" x14ac:dyDescent="0.25">
      <c r="B13" s="2"/>
      <c r="C13" s="3" t="s">
        <v>57</v>
      </c>
      <c r="D13" s="3" t="s">
        <v>58</v>
      </c>
      <c r="E13" s="3" t="s">
        <v>59</v>
      </c>
      <c r="F13" s="4">
        <v>0</v>
      </c>
      <c r="G13" s="4">
        <v>799.98</v>
      </c>
      <c r="H13" s="4">
        <v>799.98</v>
      </c>
      <c r="I13" s="4">
        <v>0</v>
      </c>
      <c r="J13" s="21">
        <v>-799.98</v>
      </c>
      <c r="K13" s="92"/>
      <c r="L13" s="28"/>
      <c r="M13" s="28"/>
      <c r="N13" s="58">
        <v>45889</v>
      </c>
      <c r="O13" s="25" t="s">
        <v>93</v>
      </c>
      <c r="P13" s="25" t="s">
        <v>1404</v>
      </c>
      <c r="Q13" s="25" t="s">
        <v>98</v>
      </c>
      <c r="R13" s="25" t="s">
        <v>87</v>
      </c>
      <c r="S13" s="24">
        <v>45889</v>
      </c>
      <c r="T13" s="25" t="s">
        <v>83</v>
      </c>
      <c r="U13" s="25" t="s">
        <v>83</v>
      </c>
      <c r="V13" s="25" t="s">
        <v>96</v>
      </c>
      <c r="W13" s="52" t="s">
        <v>83</v>
      </c>
      <c r="X13" s="52" t="s">
        <v>83</v>
      </c>
      <c r="Y13" s="53">
        <v>0</v>
      </c>
      <c r="Z13" s="53">
        <v>0</v>
      </c>
      <c r="AA13" s="5">
        <v>-623</v>
      </c>
      <c r="AC13" s="28"/>
      <c r="AD13" s="28"/>
      <c r="AE13" s="28"/>
      <c r="AF13" s="28"/>
      <c r="AG13" s="29"/>
      <c r="AH13" s="29"/>
      <c r="AI13" s="24">
        <v>45886</v>
      </c>
      <c r="AJ13" s="25" t="s">
        <v>99</v>
      </c>
      <c r="AK13" s="26">
        <v>0.5</v>
      </c>
      <c r="AL13" s="26">
        <v>0</v>
      </c>
      <c r="AM13" s="27">
        <v>80.94</v>
      </c>
    </row>
    <row r="14" spans="2:39" x14ac:dyDescent="0.25">
      <c r="B14" s="11"/>
      <c r="C14" s="6" t="s">
        <v>67</v>
      </c>
      <c r="D14" s="6"/>
      <c r="E14" s="6"/>
      <c r="F14" s="7">
        <v>0</v>
      </c>
      <c r="G14" s="7">
        <v>24278.09</v>
      </c>
      <c r="H14" s="7">
        <v>24278.09</v>
      </c>
      <c r="I14" s="7">
        <v>16228.95</v>
      </c>
      <c r="J14" s="7">
        <v>-40507.040000000001</v>
      </c>
      <c r="K14" s="93"/>
      <c r="L14" s="29"/>
      <c r="M14" s="29"/>
      <c r="N14" s="59"/>
      <c r="O14" s="25" t="s">
        <v>99</v>
      </c>
      <c r="P14" s="25" t="s">
        <v>1405</v>
      </c>
      <c r="Q14" s="25" t="s">
        <v>95</v>
      </c>
      <c r="R14" s="25" t="s">
        <v>87</v>
      </c>
      <c r="S14" s="24">
        <v>45889</v>
      </c>
      <c r="T14" s="25" t="s">
        <v>83</v>
      </c>
      <c r="U14" s="25" t="s">
        <v>342</v>
      </c>
      <c r="V14" s="25" t="s">
        <v>102</v>
      </c>
      <c r="W14" s="52" t="s">
        <v>83</v>
      </c>
      <c r="X14" s="52" t="s">
        <v>83</v>
      </c>
      <c r="Y14" s="53">
        <v>0</v>
      </c>
      <c r="Z14" s="53">
        <v>622.61</v>
      </c>
      <c r="AA14" s="5">
        <v>0</v>
      </c>
      <c r="AC14" s="28"/>
      <c r="AD14" s="28"/>
      <c r="AE14" s="28"/>
      <c r="AF14" s="28"/>
      <c r="AG14" s="30" t="s">
        <v>468</v>
      </c>
      <c r="AH14" s="31"/>
      <c r="AI14" s="31"/>
      <c r="AJ14" s="31"/>
      <c r="AK14" s="31"/>
      <c r="AL14" s="32">
        <v>0</v>
      </c>
      <c r="AM14" s="33">
        <v>275.2</v>
      </c>
    </row>
    <row r="15" spans="2:39" x14ac:dyDescent="0.25">
      <c r="B15" s="12" t="s">
        <v>68</v>
      </c>
      <c r="C15" s="12"/>
      <c r="D15" s="12"/>
      <c r="E15" s="12"/>
      <c r="F15" s="13">
        <v>0</v>
      </c>
      <c r="G15" s="13">
        <v>24278.09</v>
      </c>
      <c r="H15" s="13">
        <v>24278.09</v>
      </c>
      <c r="I15" s="13">
        <v>16228.95</v>
      </c>
      <c r="J15" s="13">
        <v>-40507.040000000001</v>
      </c>
      <c r="K15" s="94"/>
      <c r="L15" s="54" t="s">
        <v>408</v>
      </c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6">
        <v>0</v>
      </c>
      <c r="Z15" s="56">
        <v>2116.87</v>
      </c>
      <c r="AA15" s="57">
        <v>14133</v>
      </c>
      <c r="AC15" s="28"/>
      <c r="AD15" s="28"/>
      <c r="AE15" s="28"/>
      <c r="AF15" s="28"/>
      <c r="AG15" s="23" t="s">
        <v>1223</v>
      </c>
      <c r="AH15" s="23" t="s">
        <v>1224</v>
      </c>
      <c r="AI15" s="24">
        <v>45844</v>
      </c>
      <c r="AJ15" s="25" t="s">
        <v>99</v>
      </c>
      <c r="AK15" s="26">
        <v>0.5</v>
      </c>
      <c r="AL15" s="26">
        <v>0</v>
      </c>
      <c r="AM15" s="27">
        <v>0</v>
      </c>
    </row>
    <row r="16" spans="2:39" x14ac:dyDescent="0.25">
      <c r="L16" s="23" t="s">
        <v>20</v>
      </c>
      <c r="M16" s="23" t="s">
        <v>21</v>
      </c>
      <c r="N16" s="24">
        <v>45845</v>
      </c>
      <c r="O16" s="25" t="s">
        <v>93</v>
      </c>
      <c r="P16" s="25" t="s">
        <v>1397</v>
      </c>
      <c r="Q16" s="25" t="s">
        <v>95</v>
      </c>
      <c r="R16" s="25" t="s">
        <v>87</v>
      </c>
      <c r="S16" s="24">
        <v>45845</v>
      </c>
      <c r="T16" s="25" t="s">
        <v>83</v>
      </c>
      <c r="U16" s="25" t="s">
        <v>83</v>
      </c>
      <c r="V16" s="25" t="s">
        <v>96</v>
      </c>
      <c r="W16" s="52" t="s">
        <v>83</v>
      </c>
      <c r="X16" s="52" t="s">
        <v>83</v>
      </c>
      <c r="Y16" s="53">
        <v>0</v>
      </c>
      <c r="Z16" s="53">
        <v>0</v>
      </c>
      <c r="AA16" s="5">
        <v>547</v>
      </c>
      <c r="AC16" s="28"/>
      <c r="AD16" s="28"/>
      <c r="AE16" s="28"/>
      <c r="AF16" s="28"/>
      <c r="AG16" s="28"/>
      <c r="AH16" s="28"/>
      <c r="AI16" s="24">
        <v>45858</v>
      </c>
      <c r="AJ16" s="25" t="s">
        <v>99</v>
      </c>
      <c r="AK16" s="26">
        <v>0.5</v>
      </c>
      <c r="AL16" s="26">
        <v>0</v>
      </c>
      <c r="AM16" s="27">
        <v>0</v>
      </c>
    </row>
    <row r="17" spans="12:39" x14ac:dyDescent="0.25">
      <c r="L17" s="28"/>
      <c r="M17" s="28"/>
      <c r="N17" s="58">
        <v>45854</v>
      </c>
      <c r="O17" s="25" t="s">
        <v>93</v>
      </c>
      <c r="P17" s="25" t="s">
        <v>1398</v>
      </c>
      <c r="Q17" s="25" t="s">
        <v>98</v>
      </c>
      <c r="R17" s="25" t="s">
        <v>87</v>
      </c>
      <c r="S17" s="24">
        <v>45854</v>
      </c>
      <c r="T17" s="25" t="s">
        <v>83</v>
      </c>
      <c r="U17" s="25" t="s">
        <v>83</v>
      </c>
      <c r="V17" s="25" t="s">
        <v>96</v>
      </c>
      <c r="W17" s="52" t="s">
        <v>83</v>
      </c>
      <c r="X17" s="52" t="s">
        <v>83</v>
      </c>
      <c r="Y17" s="53">
        <v>0</v>
      </c>
      <c r="Z17" s="53">
        <v>0</v>
      </c>
      <c r="AA17" s="5">
        <v>-65</v>
      </c>
      <c r="AC17" s="28"/>
      <c r="AD17" s="28"/>
      <c r="AE17" s="28"/>
      <c r="AF17" s="28"/>
      <c r="AG17" s="28"/>
      <c r="AH17" s="28"/>
      <c r="AI17" s="24">
        <v>45872</v>
      </c>
      <c r="AJ17" s="25" t="s">
        <v>99</v>
      </c>
      <c r="AK17" s="26">
        <v>0.5</v>
      </c>
      <c r="AL17" s="26">
        <v>0</v>
      </c>
      <c r="AM17" s="27">
        <v>0</v>
      </c>
    </row>
    <row r="18" spans="12:39" x14ac:dyDescent="0.25">
      <c r="L18" s="28"/>
      <c r="M18" s="28"/>
      <c r="N18" s="59"/>
      <c r="O18" s="25" t="s">
        <v>99</v>
      </c>
      <c r="P18" s="25" t="s">
        <v>1399</v>
      </c>
      <c r="Q18" s="25" t="s">
        <v>95</v>
      </c>
      <c r="R18" s="25" t="s">
        <v>87</v>
      </c>
      <c r="S18" s="24">
        <v>45854</v>
      </c>
      <c r="T18" s="25" t="s">
        <v>83</v>
      </c>
      <c r="U18" s="25" t="s">
        <v>113</v>
      </c>
      <c r="V18" s="25" t="s">
        <v>102</v>
      </c>
      <c r="W18" s="52" t="s">
        <v>83</v>
      </c>
      <c r="X18" s="52" t="s">
        <v>83</v>
      </c>
      <c r="Y18" s="53">
        <v>0</v>
      </c>
      <c r="Z18" s="53">
        <v>1929.84</v>
      </c>
      <c r="AA18" s="5">
        <v>0</v>
      </c>
      <c r="AC18" s="28"/>
      <c r="AD18" s="28"/>
      <c r="AE18" s="28"/>
      <c r="AF18" s="28"/>
      <c r="AG18" s="29"/>
      <c r="AH18" s="29"/>
      <c r="AI18" s="24">
        <v>45886</v>
      </c>
      <c r="AJ18" s="25" t="s">
        <v>99</v>
      </c>
      <c r="AK18" s="26">
        <v>0.5</v>
      </c>
      <c r="AL18" s="26">
        <v>0</v>
      </c>
      <c r="AM18" s="27">
        <v>0</v>
      </c>
    </row>
    <row r="19" spans="12:39" x14ac:dyDescent="0.25">
      <c r="L19" s="28"/>
      <c r="M19" s="28"/>
      <c r="N19" s="58">
        <v>45861</v>
      </c>
      <c r="O19" s="25" t="s">
        <v>93</v>
      </c>
      <c r="P19" s="25" t="s">
        <v>1400</v>
      </c>
      <c r="Q19" s="25" t="s">
        <v>98</v>
      </c>
      <c r="R19" s="25" t="s">
        <v>87</v>
      </c>
      <c r="S19" s="24">
        <v>45861</v>
      </c>
      <c r="T19" s="25" t="s">
        <v>83</v>
      </c>
      <c r="U19" s="25" t="s">
        <v>83</v>
      </c>
      <c r="V19" s="25" t="s">
        <v>96</v>
      </c>
      <c r="W19" s="52" t="s">
        <v>83</v>
      </c>
      <c r="X19" s="52" t="s">
        <v>83</v>
      </c>
      <c r="Y19" s="53">
        <v>0</v>
      </c>
      <c r="Z19" s="53">
        <v>0</v>
      </c>
      <c r="AA19" s="5">
        <v>-160</v>
      </c>
      <c r="AC19" s="28"/>
      <c r="AD19" s="28"/>
      <c r="AE19" s="29"/>
      <c r="AF19" s="29"/>
      <c r="AG19" s="30" t="s">
        <v>1225</v>
      </c>
      <c r="AH19" s="31"/>
      <c r="AI19" s="31"/>
      <c r="AJ19" s="31"/>
      <c r="AK19" s="31"/>
      <c r="AL19" s="32">
        <v>0</v>
      </c>
      <c r="AM19" s="33">
        <v>0</v>
      </c>
    </row>
    <row r="20" spans="12:39" x14ac:dyDescent="0.25">
      <c r="L20" s="28"/>
      <c r="M20" s="28"/>
      <c r="N20" s="59"/>
      <c r="O20" s="25" t="s">
        <v>99</v>
      </c>
      <c r="P20" s="25" t="s">
        <v>1401</v>
      </c>
      <c r="Q20" s="25" t="s">
        <v>95</v>
      </c>
      <c r="R20" s="25" t="s">
        <v>87</v>
      </c>
      <c r="S20" s="24">
        <v>45861</v>
      </c>
      <c r="T20" s="25" t="s">
        <v>83</v>
      </c>
      <c r="U20" s="25" t="s">
        <v>113</v>
      </c>
      <c r="V20" s="25" t="s">
        <v>102</v>
      </c>
      <c r="W20" s="52" t="s">
        <v>83</v>
      </c>
      <c r="X20" s="52" t="s">
        <v>83</v>
      </c>
      <c r="Y20" s="53">
        <v>0</v>
      </c>
      <c r="Z20" s="53">
        <v>3216.4</v>
      </c>
      <c r="AA20" s="5">
        <v>0</v>
      </c>
      <c r="AC20" s="28"/>
      <c r="AD20" s="28"/>
      <c r="AE20" s="23" t="s">
        <v>353</v>
      </c>
      <c r="AF20" s="23" t="s">
        <v>354</v>
      </c>
      <c r="AG20" s="23" t="s">
        <v>20</v>
      </c>
      <c r="AH20" s="23" t="s">
        <v>21</v>
      </c>
      <c r="AI20" s="24">
        <v>45844</v>
      </c>
      <c r="AJ20" s="25" t="s">
        <v>99</v>
      </c>
      <c r="AK20" s="26">
        <v>2.5000000000000001E-2</v>
      </c>
      <c r="AL20" s="26">
        <v>24</v>
      </c>
      <c r="AM20" s="27">
        <v>1929.84</v>
      </c>
    </row>
    <row r="21" spans="12:39" x14ac:dyDescent="0.25">
      <c r="L21" s="28"/>
      <c r="M21" s="28"/>
      <c r="N21" s="58">
        <v>45875</v>
      </c>
      <c r="O21" s="25" t="s">
        <v>93</v>
      </c>
      <c r="P21" s="25" t="s">
        <v>1402</v>
      </c>
      <c r="Q21" s="25" t="s">
        <v>98</v>
      </c>
      <c r="R21" s="25" t="s">
        <v>87</v>
      </c>
      <c r="S21" s="24">
        <v>45875</v>
      </c>
      <c r="T21" s="25" t="s">
        <v>83</v>
      </c>
      <c r="U21" s="25" t="s">
        <v>83</v>
      </c>
      <c r="V21" s="25" t="s">
        <v>96</v>
      </c>
      <c r="W21" s="52" t="s">
        <v>83</v>
      </c>
      <c r="X21" s="52" t="s">
        <v>83</v>
      </c>
      <c r="Y21" s="53">
        <v>0</v>
      </c>
      <c r="Z21" s="53">
        <v>0</v>
      </c>
      <c r="AA21" s="5">
        <v>-161</v>
      </c>
      <c r="AC21" s="28"/>
      <c r="AD21" s="28"/>
      <c r="AE21" s="28"/>
      <c r="AF21" s="28"/>
      <c r="AG21" s="28"/>
      <c r="AH21" s="28"/>
      <c r="AI21" s="24">
        <v>45858</v>
      </c>
      <c r="AJ21" s="25" t="s">
        <v>99</v>
      </c>
      <c r="AK21" s="26">
        <v>2.5000000000000001E-2</v>
      </c>
      <c r="AL21" s="26">
        <v>40</v>
      </c>
      <c r="AM21" s="27">
        <v>3216.4</v>
      </c>
    </row>
    <row r="22" spans="12:39" x14ac:dyDescent="0.25">
      <c r="L22" s="28"/>
      <c r="M22" s="28"/>
      <c r="N22" s="62"/>
      <c r="O22" s="23" t="s">
        <v>99</v>
      </c>
      <c r="P22" s="23" t="s">
        <v>1403</v>
      </c>
      <c r="Q22" s="23" t="s">
        <v>95</v>
      </c>
      <c r="R22" s="23" t="s">
        <v>87</v>
      </c>
      <c r="S22" s="58">
        <v>45875</v>
      </c>
      <c r="T22" s="23" t="s">
        <v>83</v>
      </c>
      <c r="U22" s="25" t="s">
        <v>113</v>
      </c>
      <c r="V22" s="25" t="s">
        <v>102</v>
      </c>
      <c r="W22" s="52" t="s">
        <v>83</v>
      </c>
      <c r="X22" s="52" t="s">
        <v>83</v>
      </c>
      <c r="Y22" s="53">
        <v>0</v>
      </c>
      <c r="Z22" s="53">
        <v>2894.76</v>
      </c>
      <c r="AA22" s="5">
        <v>0</v>
      </c>
      <c r="AC22" s="28"/>
      <c r="AD22" s="28"/>
      <c r="AE22" s="28"/>
      <c r="AF22" s="28"/>
      <c r="AG22" s="28"/>
      <c r="AH22" s="28"/>
      <c r="AI22" s="24">
        <v>45872</v>
      </c>
      <c r="AJ22" s="25" t="s">
        <v>99</v>
      </c>
      <c r="AK22" s="26">
        <v>2.5000000000000001E-2</v>
      </c>
      <c r="AL22" s="26">
        <v>40</v>
      </c>
      <c r="AM22" s="27">
        <v>3216.4</v>
      </c>
    </row>
    <row r="23" spans="12:39" x14ac:dyDescent="0.25">
      <c r="L23" s="28"/>
      <c r="M23" s="28"/>
      <c r="N23" s="59"/>
      <c r="O23" s="29"/>
      <c r="P23" s="29"/>
      <c r="Q23" s="29"/>
      <c r="R23" s="29"/>
      <c r="S23" s="59"/>
      <c r="T23" s="29"/>
      <c r="U23" s="25" t="s">
        <v>342</v>
      </c>
      <c r="V23" s="25" t="s">
        <v>102</v>
      </c>
      <c r="W23" s="52" t="s">
        <v>83</v>
      </c>
      <c r="X23" s="52" t="s">
        <v>83</v>
      </c>
      <c r="Y23" s="53">
        <v>0</v>
      </c>
      <c r="Z23" s="53">
        <v>321.64</v>
      </c>
      <c r="AA23" s="5">
        <v>0</v>
      </c>
      <c r="AC23" s="28"/>
      <c r="AD23" s="28"/>
      <c r="AE23" s="28"/>
      <c r="AF23" s="28"/>
      <c r="AG23" s="29"/>
      <c r="AH23" s="29"/>
      <c r="AI23" s="24">
        <v>45886</v>
      </c>
      <c r="AJ23" s="25" t="s">
        <v>99</v>
      </c>
      <c r="AK23" s="26">
        <v>2.5000000000000001E-2</v>
      </c>
      <c r="AL23" s="26">
        <v>28</v>
      </c>
      <c r="AM23" s="27">
        <v>2251.48</v>
      </c>
    </row>
    <row r="24" spans="12:39" x14ac:dyDescent="0.25">
      <c r="L24" s="28"/>
      <c r="M24" s="28"/>
      <c r="N24" s="58">
        <v>45889</v>
      </c>
      <c r="O24" s="25" t="s">
        <v>93</v>
      </c>
      <c r="P24" s="25" t="s">
        <v>1406</v>
      </c>
      <c r="Q24" s="25" t="s">
        <v>98</v>
      </c>
      <c r="R24" s="25" t="s">
        <v>87</v>
      </c>
      <c r="S24" s="24">
        <v>45889</v>
      </c>
      <c r="T24" s="25" t="s">
        <v>83</v>
      </c>
      <c r="U24" s="25" t="s">
        <v>83</v>
      </c>
      <c r="V24" s="25" t="s">
        <v>96</v>
      </c>
      <c r="W24" s="52" t="s">
        <v>83</v>
      </c>
      <c r="X24" s="52" t="s">
        <v>83</v>
      </c>
      <c r="Y24" s="53">
        <v>0</v>
      </c>
      <c r="Z24" s="53">
        <v>0</v>
      </c>
      <c r="AA24" s="5">
        <v>-161</v>
      </c>
      <c r="AC24" s="28"/>
      <c r="AD24" s="28"/>
      <c r="AE24" s="28"/>
      <c r="AF24" s="28"/>
      <c r="AG24" s="30" t="s">
        <v>109</v>
      </c>
      <c r="AH24" s="31"/>
      <c r="AI24" s="31"/>
      <c r="AJ24" s="31"/>
      <c r="AK24" s="31"/>
      <c r="AL24" s="32">
        <v>132</v>
      </c>
      <c r="AM24" s="33">
        <v>10614.12</v>
      </c>
    </row>
    <row r="25" spans="12:39" x14ac:dyDescent="0.25">
      <c r="L25" s="29"/>
      <c r="M25" s="29"/>
      <c r="N25" s="59"/>
      <c r="O25" s="25" t="s">
        <v>99</v>
      </c>
      <c r="P25" s="25" t="s">
        <v>1405</v>
      </c>
      <c r="Q25" s="25" t="s">
        <v>95</v>
      </c>
      <c r="R25" s="25" t="s">
        <v>87</v>
      </c>
      <c r="S25" s="24">
        <v>45889</v>
      </c>
      <c r="T25" s="25" t="s">
        <v>83</v>
      </c>
      <c r="U25" s="25" t="s">
        <v>342</v>
      </c>
      <c r="V25" s="25" t="s">
        <v>102</v>
      </c>
      <c r="W25" s="52" t="s">
        <v>83</v>
      </c>
      <c r="X25" s="52" t="s">
        <v>83</v>
      </c>
      <c r="Y25" s="53">
        <v>0</v>
      </c>
      <c r="Z25" s="53">
        <v>2251.48</v>
      </c>
      <c r="AA25" s="5">
        <v>0</v>
      </c>
      <c r="AC25" s="28"/>
      <c r="AD25" s="28"/>
      <c r="AE25" s="28"/>
      <c r="AF25" s="28"/>
      <c r="AG25" s="23" t="s">
        <v>22</v>
      </c>
      <c r="AH25" s="23" t="s">
        <v>23</v>
      </c>
      <c r="AI25" s="24">
        <v>45844</v>
      </c>
      <c r="AJ25" s="25" t="s">
        <v>99</v>
      </c>
      <c r="AK25" s="26">
        <v>2.5000000000000001E-2</v>
      </c>
      <c r="AL25" s="26">
        <v>0</v>
      </c>
      <c r="AM25" s="27">
        <v>617.54999999999995</v>
      </c>
    </row>
    <row r="26" spans="12:39" x14ac:dyDescent="0.25">
      <c r="L26" s="54" t="s">
        <v>109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6">
        <v>0</v>
      </c>
      <c r="Z26" s="56">
        <v>10614.12</v>
      </c>
      <c r="AA26" s="57">
        <v>0</v>
      </c>
      <c r="AC26" s="28"/>
      <c r="AD26" s="28"/>
      <c r="AE26" s="28"/>
      <c r="AF26" s="28"/>
      <c r="AG26" s="28"/>
      <c r="AH26" s="28"/>
      <c r="AI26" s="24">
        <v>45858</v>
      </c>
      <c r="AJ26" s="25" t="s">
        <v>99</v>
      </c>
      <c r="AK26" s="26">
        <v>2.5000000000000001E-2</v>
      </c>
      <c r="AL26" s="26">
        <v>0</v>
      </c>
      <c r="AM26" s="27">
        <v>1029.24</v>
      </c>
    </row>
    <row r="27" spans="12:39" x14ac:dyDescent="0.25">
      <c r="L27" s="23" t="s">
        <v>370</v>
      </c>
      <c r="M27" s="23" t="s">
        <v>371</v>
      </c>
      <c r="N27" s="24">
        <v>45845</v>
      </c>
      <c r="O27" s="25" t="s">
        <v>93</v>
      </c>
      <c r="P27" s="25" t="s">
        <v>1397</v>
      </c>
      <c r="Q27" s="25" t="s">
        <v>95</v>
      </c>
      <c r="R27" s="25" t="s">
        <v>87</v>
      </c>
      <c r="S27" s="24">
        <v>45845</v>
      </c>
      <c r="T27" s="25" t="s">
        <v>83</v>
      </c>
      <c r="U27" s="25" t="s">
        <v>83</v>
      </c>
      <c r="V27" s="25" t="s">
        <v>96</v>
      </c>
      <c r="W27" s="52" t="s">
        <v>83</v>
      </c>
      <c r="X27" s="52" t="s">
        <v>83</v>
      </c>
      <c r="Y27" s="53">
        <v>0</v>
      </c>
      <c r="Z27" s="53">
        <v>0</v>
      </c>
      <c r="AA27" s="5">
        <v>133</v>
      </c>
      <c r="AC27" s="28"/>
      <c r="AD27" s="28"/>
      <c r="AE27" s="28"/>
      <c r="AF27" s="28"/>
      <c r="AG27" s="28"/>
      <c r="AH27" s="28"/>
      <c r="AI27" s="24">
        <v>45872</v>
      </c>
      <c r="AJ27" s="25" t="s">
        <v>99</v>
      </c>
      <c r="AK27" s="26">
        <v>2.5000000000000001E-2</v>
      </c>
      <c r="AL27" s="26">
        <v>0</v>
      </c>
      <c r="AM27" s="27">
        <v>1029.24</v>
      </c>
    </row>
    <row r="28" spans="12:39" x14ac:dyDescent="0.25">
      <c r="L28" s="28"/>
      <c r="M28" s="28"/>
      <c r="N28" s="58">
        <v>45854</v>
      </c>
      <c r="O28" s="25" t="s">
        <v>93</v>
      </c>
      <c r="P28" s="25" t="s">
        <v>1398</v>
      </c>
      <c r="Q28" s="25" t="s">
        <v>98</v>
      </c>
      <c r="R28" s="25" t="s">
        <v>87</v>
      </c>
      <c r="S28" s="24">
        <v>45854</v>
      </c>
      <c r="T28" s="25" t="s">
        <v>83</v>
      </c>
      <c r="U28" s="25" t="s">
        <v>83</v>
      </c>
      <c r="V28" s="25" t="s">
        <v>96</v>
      </c>
      <c r="W28" s="52" t="s">
        <v>83</v>
      </c>
      <c r="X28" s="52" t="s">
        <v>83</v>
      </c>
      <c r="Y28" s="53">
        <v>0</v>
      </c>
      <c r="Z28" s="53">
        <v>0</v>
      </c>
      <c r="AA28" s="5">
        <v>-15</v>
      </c>
      <c r="AC28" s="28"/>
      <c r="AD28" s="28"/>
      <c r="AE28" s="28"/>
      <c r="AF28" s="28"/>
      <c r="AG28" s="29"/>
      <c r="AH28" s="29"/>
      <c r="AI28" s="24">
        <v>45886</v>
      </c>
      <c r="AJ28" s="25" t="s">
        <v>99</v>
      </c>
      <c r="AK28" s="26">
        <v>2.5000000000000001E-2</v>
      </c>
      <c r="AL28" s="26">
        <v>0</v>
      </c>
      <c r="AM28" s="27">
        <v>720.47</v>
      </c>
    </row>
    <row r="29" spans="12:39" x14ac:dyDescent="0.25">
      <c r="L29" s="28"/>
      <c r="M29" s="28"/>
      <c r="N29" s="59"/>
      <c r="O29" s="25" t="s">
        <v>99</v>
      </c>
      <c r="P29" s="25" t="s">
        <v>1399</v>
      </c>
      <c r="Q29" s="25" t="s">
        <v>95</v>
      </c>
      <c r="R29" s="25" t="s">
        <v>87</v>
      </c>
      <c r="S29" s="24">
        <v>45854</v>
      </c>
      <c r="T29" s="25" t="s">
        <v>83</v>
      </c>
      <c r="U29" s="25" t="s">
        <v>113</v>
      </c>
      <c r="V29" s="25" t="s">
        <v>102</v>
      </c>
      <c r="W29" s="52" t="s">
        <v>83</v>
      </c>
      <c r="X29" s="52" t="s">
        <v>83</v>
      </c>
      <c r="Y29" s="53">
        <v>0</v>
      </c>
      <c r="Z29" s="53">
        <v>431.44</v>
      </c>
      <c r="AA29" s="5">
        <v>0</v>
      </c>
      <c r="AC29" s="28"/>
      <c r="AD29" s="28"/>
      <c r="AE29" s="29"/>
      <c r="AF29" s="29"/>
      <c r="AG29" s="30" t="s">
        <v>110</v>
      </c>
      <c r="AH29" s="31"/>
      <c r="AI29" s="31"/>
      <c r="AJ29" s="31"/>
      <c r="AK29" s="31"/>
      <c r="AL29" s="32">
        <v>0</v>
      </c>
      <c r="AM29" s="33">
        <v>3396.5</v>
      </c>
    </row>
    <row r="30" spans="12:39" x14ac:dyDescent="0.25">
      <c r="L30" s="28"/>
      <c r="M30" s="28"/>
      <c r="N30" s="58">
        <v>45861</v>
      </c>
      <c r="O30" s="25" t="s">
        <v>93</v>
      </c>
      <c r="P30" s="25" t="s">
        <v>1400</v>
      </c>
      <c r="Q30" s="25" t="s">
        <v>98</v>
      </c>
      <c r="R30" s="25" t="s">
        <v>87</v>
      </c>
      <c r="S30" s="24">
        <v>45861</v>
      </c>
      <c r="T30" s="25" t="s">
        <v>83</v>
      </c>
      <c r="U30" s="25" t="s">
        <v>83</v>
      </c>
      <c r="V30" s="25" t="s">
        <v>96</v>
      </c>
      <c r="W30" s="52" t="s">
        <v>83</v>
      </c>
      <c r="X30" s="52" t="s">
        <v>83</v>
      </c>
      <c r="Y30" s="53">
        <v>0</v>
      </c>
      <c r="Z30" s="53">
        <v>0</v>
      </c>
      <c r="AA30" s="5">
        <v>-40</v>
      </c>
      <c r="AC30" s="28"/>
      <c r="AD30" s="28"/>
      <c r="AE30" s="23" t="s">
        <v>1221</v>
      </c>
      <c r="AF30" s="23" t="s">
        <v>1222</v>
      </c>
      <c r="AG30" s="23" t="s">
        <v>370</v>
      </c>
      <c r="AH30" s="23" t="s">
        <v>371</v>
      </c>
      <c r="AI30" s="24">
        <v>45844</v>
      </c>
      <c r="AJ30" s="25" t="s">
        <v>99</v>
      </c>
      <c r="AK30" s="26">
        <v>2.5000000000000001E-2</v>
      </c>
      <c r="AL30" s="26">
        <v>14.74</v>
      </c>
      <c r="AM30" s="27">
        <v>431.44</v>
      </c>
    </row>
    <row r="31" spans="12:39" x14ac:dyDescent="0.25">
      <c r="L31" s="28"/>
      <c r="M31" s="28"/>
      <c r="N31" s="59"/>
      <c r="O31" s="25" t="s">
        <v>99</v>
      </c>
      <c r="P31" s="25" t="s">
        <v>1401</v>
      </c>
      <c r="Q31" s="25" t="s">
        <v>95</v>
      </c>
      <c r="R31" s="25" t="s">
        <v>87</v>
      </c>
      <c r="S31" s="24">
        <v>45861</v>
      </c>
      <c r="T31" s="25" t="s">
        <v>83</v>
      </c>
      <c r="U31" s="25" t="s">
        <v>113</v>
      </c>
      <c r="V31" s="25" t="s">
        <v>102</v>
      </c>
      <c r="W31" s="52" t="s">
        <v>83</v>
      </c>
      <c r="X31" s="52" t="s">
        <v>83</v>
      </c>
      <c r="Y31" s="53">
        <v>0</v>
      </c>
      <c r="Z31" s="53">
        <v>1176.6600000000001</v>
      </c>
      <c r="AA31" s="5">
        <v>0</v>
      </c>
      <c r="AC31" s="28"/>
      <c r="AD31" s="28"/>
      <c r="AE31" s="28"/>
      <c r="AF31" s="28"/>
      <c r="AG31" s="28"/>
      <c r="AH31" s="28"/>
      <c r="AI31" s="24">
        <v>45858</v>
      </c>
      <c r="AJ31" s="25" t="s">
        <v>99</v>
      </c>
      <c r="AK31" s="26">
        <v>2.5000000000000001E-2</v>
      </c>
      <c r="AL31" s="26">
        <v>40.200000000000003</v>
      </c>
      <c r="AM31" s="27">
        <v>1176.6600000000001</v>
      </c>
    </row>
    <row r="32" spans="12:39" x14ac:dyDescent="0.25">
      <c r="L32" s="28"/>
      <c r="M32" s="28"/>
      <c r="N32" s="58">
        <v>45875</v>
      </c>
      <c r="O32" s="25" t="s">
        <v>93</v>
      </c>
      <c r="P32" s="25" t="s">
        <v>1402</v>
      </c>
      <c r="Q32" s="25" t="s">
        <v>98</v>
      </c>
      <c r="R32" s="25" t="s">
        <v>87</v>
      </c>
      <c r="S32" s="24">
        <v>45875</v>
      </c>
      <c r="T32" s="25" t="s">
        <v>83</v>
      </c>
      <c r="U32" s="25" t="s">
        <v>83</v>
      </c>
      <c r="V32" s="25" t="s">
        <v>96</v>
      </c>
      <c r="W32" s="52" t="s">
        <v>83</v>
      </c>
      <c r="X32" s="52" t="s">
        <v>83</v>
      </c>
      <c r="Y32" s="53">
        <v>0</v>
      </c>
      <c r="Z32" s="53">
        <v>0</v>
      </c>
      <c r="AA32" s="5">
        <v>-39</v>
      </c>
      <c r="AC32" s="28"/>
      <c r="AD32" s="28"/>
      <c r="AE32" s="28"/>
      <c r="AF32" s="28"/>
      <c r="AG32" s="28"/>
      <c r="AH32" s="28"/>
      <c r="AI32" s="24">
        <v>45872</v>
      </c>
      <c r="AJ32" s="25" t="s">
        <v>99</v>
      </c>
      <c r="AK32" s="26">
        <v>2.5000000000000001E-2</v>
      </c>
      <c r="AL32" s="26">
        <v>40.200000000000003</v>
      </c>
      <c r="AM32" s="27">
        <v>1176.6600000000001</v>
      </c>
    </row>
    <row r="33" spans="12:39" x14ac:dyDescent="0.25">
      <c r="L33" s="28"/>
      <c r="M33" s="28"/>
      <c r="N33" s="62"/>
      <c r="O33" s="23" t="s">
        <v>99</v>
      </c>
      <c r="P33" s="23" t="s">
        <v>1403</v>
      </c>
      <c r="Q33" s="23" t="s">
        <v>95</v>
      </c>
      <c r="R33" s="23" t="s">
        <v>87</v>
      </c>
      <c r="S33" s="58">
        <v>45875</v>
      </c>
      <c r="T33" s="23" t="s">
        <v>83</v>
      </c>
      <c r="U33" s="25" t="s">
        <v>113</v>
      </c>
      <c r="V33" s="25" t="s">
        <v>102</v>
      </c>
      <c r="W33" s="52" t="s">
        <v>83</v>
      </c>
      <c r="X33" s="52" t="s">
        <v>83</v>
      </c>
      <c r="Y33" s="53">
        <v>0</v>
      </c>
      <c r="Z33" s="53">
        <v>1058.99</v>
      </c>
      <c r="AA33" s="5">
        <v>0</v>
      </c>
      <c r="AC33" s="28"/>
      <c r="AD33" s="28"/>
      <c r="AE33" s="28"/>
      <c r="AF33" s="28"/>
      <c r="AG33" s="29"/>
      <c r="AH33" s="29"/>
      <c r="AI33" s="24">
        <v>45886</v>
      </c>
      <c r="AJ33" s="25" t="s">
        <v>99</v>
      </c>
      <c r="AK33" s="26">
        <v>2.5000000000000001E-2</v>
      </c>
      <c r="AL33" s="26">
        <v>40.200000000000003</v>
      </c>
      <c r="AM33" s="27">
        <v>1176.6600000000001</v>
      </c>
    </row>
    <row r="34" spans="12:39" x14ac:dyDescent="0.25">
      <c r="L34" s="28"/>
      <c r="M34" s="28"/>
      <c r="N34" s="59"/>
      <c r="O34" s="29"/>
      <c r="P34" s="29"/>
      <c r="Q34" s="29"/>
      <c r="R34" s="29"/>
      <c r="S34" s="59"/>
      <c r="T34" s="29"/>
      <c r="U34" s="25" t="s">
        <v>342</v>
      </c>
      <c r="V34" s="25" t="s">
        <v>102</v>
      </c>
      <c r="W34" s="52" t="s">
        <v>83</v>
      </c>
      <c r="X34" s="52" t="s">
        <v>83</v>
      </c>
      <c r="Y34" s="53">
        <v>0</v>
      </c>
      <c r="Z34" s="53">
        <v>117.67</v>
      </c>
      <c r="AA34" s="5">
        <v>0</v>
      </c>
      <c r="AC34" s="28"/>
      <c r="AD34" s="28"/>
      <c r="AE34" s="28"/>
      <c r="AF34" s="28"/>
      <c r="AG34" s="30" t="s">
        <v>425</v>
      </c>
      <c r="AH34" s="31"/>
      <c r="AI34" s="31"/>
      <c r="AJ34" s="31"/>
      <c r="AK34" s="31"/>
      <c r="AL34" s="32">
        <v>135.34</v>
      </c>
      <c r="AM34" s="33">
        <v>3961.42</v>
      </c>
    </row>
    <row r="35" spans="12:39" x14ac:dyDescent="0.25">
      <c r="L35" s="28"/>
      <c r="M35" s="28"/>
      <c r="N35" s="58">
        <v>45889</v>
      </c>
      <c r="O35" s="25" t="s">
        <v>93</v>
      </c>
      <c r="P35" s="25" t="s">
        <v>1406</v>
      </c>
      <c r="Q35" s="25" t="s">
        <v>98</v>
      </c>
      <c r="R35" s="25" t="s">
        <v>87</v>
      </c>
      <c r="S35" s="24">
        <v>45889</v>
      </c>
      <c r="T35" s="25" t="s">
        <v>83</v>
      </c>
      <c r="U35" s="25" t="s">
        <v>83</v>
      </c>
      <c r="V35" s="25" t="s">
        <v>96</v>
      </c>
      <c r="W35" s="52" t="s">
        <v>83</v>
      </c>
      <c r="X35" s="52" t="s">
        <v>83</v>
      </c>
      <c r="Y35" s="53">
        <v>0</v>
      </c>
      <c r="Z35" s="53">
        <v>0</v>
      </c>
      <c r="AA35" s="5">
        <v>-39</v>
      </c>
      <c r="AC35" s="28"/>
      <c r="AD35" s="28"/>
      <c r="AE35" s="28"/>
      <c r="AF35" s="28"/>
      <c r="AG35" s="23" t="s">
        <v>376</v>
      </c>
      <c r="AH35" s="23" t="s">
        <v>377</v>
      </c>
      <c r="AI35" s="24">
        <v>45844</v>
      </c>
      <c r="AJ35" s="25" t="s">
        <v>99</v>
      </c>
      <c r="AK35" s="26">
        <v>2.5000000000000001E-2</v>
      </c>
      <c r="AL35" s="26">
        <v>0</v>
      </c>
      <c r="AM35" s="27">
        <v>56.09</v>
      </c>
    </row>
    <row r="36" spans="12:39" x14ac:dyDescent="0.25">
      <c r="L36" s="29"/>
      <c r="M36" s="29"/>
      <c r="N36" s="59"/>
      <c r="O36" s="25" t="s">
        <v>99</v>
      </c>
      <c r="P36" s="25" t="s">
        <v>1405</v>
      </c>
      <c r="Q36" s="25" t="s">
        <v>95</v>
      </c>
      <c r="R36" s="25" t="s">
        <v>87</v>
      </c>
      <c r="S36" s="24">
        <v>45889</v>
      </c>
      <c r="T36" s="25" t="s">
        <v>83</v>
      </c>
      <c r="U36" s="25" t="s">
        <v>342</v>
      </c>
      <c r="V36" s="25" t="s">
        <v>102</v>
      </c>
      <c r="W36" s="52" t="s">
        <v>83</v>
      </c>
      <c r="X36" s="52" t="s">
        <v>83</v>
      </c>
      <c r="Y36" s="53">
        <v>0</v>
      </c>
      <c r="Z36" s="53">
        <v>1176.6600000000001</v>
      </c>
      <c r="AA36" s="5">
        <v>0</v>
      </c>
      <c r="AC36" s="28"/>
      <c r="AD36" s="28"/>
      <c r="AE36" s="28"/>
      <c r="AF36" s="28"/>
      <c r="AG36" s="28"/>
      <c r="AH36" s="28"/>
      <c r="AI36" s="24">
        <v>45858</v>
      </c>
      <c r="AJ36" s="25" t="s">
        <v>99</v>
      </c>
      <c r="AK36" s="26">
        <v>2.5000000000000001E-2</v>
      </c>
      <c r="AL36" s="26">
        <v>0</v>
      </c>
      <c r="AM36" s="27">
        <v>152.96</v>
      </c>
    </row>
    <row r="37" spans="12:39" x14ac:dyDescent="0.25">
      <c r="L37" s="54" t="s">
        <v>425</v>
      </c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6">
        <v>0</v>
      </c>
      <c r="Z37" s="56">
        <v>3961.42</v>
      </c>
      <c r="AA37" s="57">
        <v>0</v>
      </c>
      <c r="AC37" s="28"/>
      <c r="AD37" s="28"/>
      <c r="AE37" s="28"/>
      <c r="AF37" s="28"/>
      <c r="AG37" s="28"/>
      <c r="AH37" s="28"/>
      <c r="AI37" s="24">
        <v>45872</v>
      </c>
      <c r="AJ37" s="25" t="s">
        <v>99</v>
      </c>
      <c r="AK37" s="26">
        <v>2.5000000000000001E-2</v>
      </c>
      <c r="AL37" s="26">
        <v>0</v>
      </c>
      <c r="AM37" s="27">
        <v>152.97</v>
      </c>
    </row>
    <row r="38" spans="12:39" x14ac:dyDescent="0.25">
      <c r="L38" s="23" t="s">
        <v>376</v>
      </c>
      <c r="M38" s="23" t="s">
        <v>377</v>
      </c>
      <c r="N38" s="24">
        <v>45845</v>
      </c>
      <c r="O38" s="25" t="s">
        <v>93</v>
      </c>
      <c r="P38" s="25" t="s">
        <v>1397</v>
      </c>
      <c r="Q38" s="25" t="s">
        <v>95</v>
      </c>
      <c r="R38" s="25" t="s">
        <v>87</v>
      </c>
      <c r="S38" s="24">
        <v>45845</v>
      </c>
      <c r="T38" s="25" t="s">
        <v>83</v>
      </c>
      <c r="U38" s="25" t="s">
        <v>83</v>
      </c>
      <c r="V38" s="25" t="s">
        <v>96</v>
      </c>
      <c r="W38" s="52" t="s">
        <v>83</v>
      </c>
      <c r="X38" s="52" t="s">
        <v>83</v>
      </c>
      <c r="Y38" s="53">
        <v>0</v>
      </c>
      <c r="Z38" s="53">
        <v>0</v>
      </c>
      <c r="AA38" s="5">
        <v>2129.79</v>
      </c>
      <c r="AC38" s="28"/>
      <c r="AD38" s="28"/>
      <c r="AE38" s="28"/>
      <c r="AF38" s="28"/>
      <c r="AG38" s="29"/>
      <c r="AH38" s="29"/>
      <c r="AI38" s="24">
        <v>45886</v>
      </c>
      <c r="AJ38" s="25" t="s">
        <v>99</v>
      </c>
      <c r="AK38" s="26">
        <v>2.5000000000000001E-2</v>
      </c>
      <c r="AL38" s="26">
        <v>0</v>
      </c>
      <c r="AM38" s="27">
        <v>152.96</v>
      </c>
    </row>
    <row r="39" spans="12:39" x14ac:dyDescent="0.25">
      <c r="L39" s="28"/>
      <c r="M39" s="28"/>
      <c r="N39" s="58">
        <v>45854</v>
      </c>
      <c r="O39" s="25" t="s">
        <v>93</v>
      </c>
      <c r="P39" s="25" t="s">
        <v>1398</v>
      </c>
      <c r="Q39" s="25" t="s">
        <v>98</v>
      </c>
      <c r="R39" s="25" t="s">
        <v>87</v>
      </c>
      <c r="S39" s="24">
        <v>45854</v>
      </c>
      <c r="T39" s="25" t="s">
        <v>83</v>
      </c>
      <c r="U39" s="25" t="s">
        <v>83</v>
      </c>
      <c r="V39" s="25" t="s">
        <v>96</v>
      </c>
      <c r="W39" s="52" t="s">
        <v>83</v>
      </c>
      <c r="X39" s="52" t="s">
        <v>83</v>
      </c>
      <c r="Y39" s="53">
        <v>0</v>
      </c>
      <c r="Z39" s="53">
        <v>0</v>
      </c>
      <c r="AA39" s="5">
        <v>-34.32</v>
      </c>
      <c r="AC39" s="28"/>
      <c r="AD39" s="28"/>
      <c r="AE39" s="28"/>
      <c r="AF39" s="28"/>
      <c r="AG39" s="30" t="s">
        <v>468</v>
      </c>
      <c r="AH39" s="31"/>
      <c r="AI39" s="31"/>
      <c r="AJ39" s="31"/>
      <c r="AK39" s="31"/>
      <c r="AL39" s="32">
        <v>0</v>
      </c>
      <c r="AM39" s="33">
        <v>514.98</v>
      </c>
    </row>
    <row r="40" spans="12:39" x14ac:dyDescent="0.25">
      <c r="L40" s="28"/>
      <c r="M40" s="28"/>
      <c r="N40" s="59"/>
      <c r="O40" s="25" t="s">
        <v>99</v>
      </c>
      <c r="P40" s="25" t="s">
        <v>1399</v>
      </c>
      <c r="Q40" s="25" t="s">
        <v>95</v>
      </c>
      <c r="R40" s="25" t="s">
        <v>87</v>
      </c>
      <c r="S40" s="24">
        <v>45854</v>
      </c>
      <c r="T40" s="25" t="s">
        <v>83</v>
      </c>
      <c r="U40" s="25" t="s">
        <v>113</v>
      </c>
      <c r="V40" s="25" t="s">
        <v>102</v>
      </c>
      <c r="W40" s="52" t="s">
        <v>83</v>
      </c>
      <c r="X40" s="52" t="s">
        <v>83</v>
      </c>
      <c r="Y40" s="53">
        <v>0</v>
      </c>
      <c r="Z40" s="53">
        <v>88.47</v>
      </c>
      <c r="AA40" s="5">
        <v>0</v>
      </c>
      <c r="AC40" s="28"/>
      <c r="AD40" s="28"/>
      <c r="AE40" s="28"/>
      <c r="AF40" s="28"/>
      <c r="AG40" s="23" t="s">
        <v>1223</v>
      </c>
      <c r="AH40" s="23" t="s">
        <v>1224</v>
      </c>
      <c r="AI40" s="24">
        <v>45844</v>
      </c>
      <c r="AJ40" s="25" t="s">
        <v>99</v>
      </c>
      <c r="AK40" s="26">
        <v>2.5000000000000001E-2</v>
      </c>
      <c r="AL40" s="26">
        <v>0</v>
      </c>
      <c r="AM40" s="27">
        <v>0</v>
      </c>
    </row>
    <row r="41" spans="12:39" x14ac:dyDescent="0.25">
      <c r="L41" s="28"/>
      <c r="M41" s="28"/>
      <c r="N41" s="58">
        <v>45861</v>
      </c>
      <c r="O41" s="25" t="s">
        <v>93</v>
      </c>
      <c r="P41" s="25" t="s">
        <v>1400</v>
      </c>
      <c r="Q41" s="25" t="s">
        <v>98</v>
      </c>
      <c r="R41" s="25" t="s">
        <v>87</v>
      </c>
      <c r="S41" s="24">
        <v>45861</v>
      </c>
      <c r="T41" s="25" t="s">
        <v>83</v>
      </c>
      <c r="U41" s="25" t="s">
        <v>83</v>
      </c>
      <c r="V41" s="25" t="s">
        <v>96</v>
      </c>
      <c r="W41" s="52" t="s">
        <v>83</v>
      </c>
      <c r="X41" s="52" t="s">
        <v>83</v>
      </c>
      <c r="Y41" s="53">
        <v>0</v>
      </c>
      <c r="Z41" s="53">
        <v>0</v>
      </c>
      <c r="AA41" s="5">
        <v>-86.19</v>
      </c>
      <c r="AC41" s="28"/>
      <c r="AD41" s="28"/>
      <c r="AE41" s="28"/>
      <c r="AF41" s="28"/>
      <c r="AG41" s="28"/>
      <c r="AH41" s="28"/>
      <c r="AI41" s="24">
        <v>45858</v>
      </c>
      <c r="AJ41" s="25" t="s">
        <v>99</v>
      </c>
      <c r="AK41" s="26">
        <v>2.5000000000000001E-2</v>
      </c>
      <c r="AL41" s="26">
        <v>0</v>
      </c>
      <c r="AM41" s="27">
        <v>0</v>
      </c>
    </row>
    <row r="42" spans="12:39" x14ac:dyDescent="0.25">
      <c r="L42" s="28"/>
      <c r="M42" s="28"/>
      <c r="N42" s="59"/>
      <c r="O42" s="25" t="s">
        <v>99</v>
      </c>
      <c r="P42" s="25" t="s">
        <v>1401</v>
      </c>
      <c r="Q42" s="25" t="s">
        <v>95</v>
      </c>
      <c r="R42" s="25" t="s">
        <v>87</v>
      </c>
      <c r="S42" s="24">
        <v>45861</v>
      </c>
      <c r="T42" s="25" t="s">
        <v>83</v>
      </c>
      <c r="U42" s="25" t="s">
        <v>113</v>
      </c>
      <c r="V42" s="25" t="s">
        <v>102</v>
      </c>
      <c r="W42" s="52" t="s">
        <v>83</v>
      </c>
      <c r="X42" s="52" t="s">
        <v>83</v>
      </c>
      <c r="Y42" s="53">
        <v>0</v>
      </c>
      <c r="Z42" s="53">
        <v>233.9</v>
      </c>
      <c r="AA42" s="5">
        <v>0</v>
      </c>
      <c r="AC42" s="28"/>
      <c r="AD42" s="28"/>
      <c r="AE42" s="28"/>
      <c r="AF42" s="28"/>
      <c r="AG42" s="28"/>
      <c r="AH42" s="28"/>
      <c r="AI42" s="24">
        <v>45872</v>
      </c>
      <c r="AJ42" s="25" t="s">
        <v>99</v>
      </c>
      <c r="AK42" s="26">
        <v>2.5000000000000001E-2</v>
      </c>
      <c r="AL42" s="26">
        <v>0</v>
      </c>
      <c r="AM42" s="27">
        <v>0</v>
      </c>
    </row>
    <row r="43" spans="12:39" x14ac:dyDescent="0.25">
      <c r="L43" s="28"/>
      <c r="M43" s="28"/>
      <c r="N43" s="58">
        <v>45875</v>
      </c>
      <c r="O43" s="25" t="s">
        <v>93</v>
      </c>
      <c r="P43" s="25" t="s">
        <v>1402</v>
      </c>
      <c r="Q43" s="25" t="s">
        <v>98</v>
      </c>
      <c r="R43" s="25" t="s">
        <v>87</v>
      </c>
      <c r="S43" s="24">
        <v>45875</v>
      </c>
      <c r="T43" s="25" t="s">
        <v>83</v>
      </c>
      <c r="U43" s="25" t="s">
        <v>83</v>
      </c>
      <c r="V43" s="25" t="s">
        <v>96</v>
      </c>
      <c r="W43" s="52" t="s">
        <v>83</v>
      </c>
      <c r="X43" s="52" t="s">
        <v>83</v>
      </c>
      <c r="Y43" s="53">
        <v>0</v>
      </c>
      <c r="Z43" s="53">
        <v>0</v>
      </c>
      <c r="AA43" s="5">
        <v>-85.93</v>
      </c>
      <c r="AC43" s="28"/>
      <c r="AD43" s="28"/>
      <c r="AE43" s="28"/>
      <c r="AF43" s="28"/>
      <c r="AG43" s="29"/>
      <c r="AH43" s="29"/>
      <c r="AI43" s="24">
        <v>45886</v>
      </c>
      <c r="AJ43" s="25" t="s">
        <v>99</v>
      </c>
      <c r="AK43" s="26">
        <v>2.5000000000000001E-2</v>
      </c>
      <c r="AL43" s="26">
        <v>0</v>
      </c>
      <c r="AM43" s="27">
        <v>0</v>
      </c>
    </row>
    <row r="44" spans="12:39" x14ac:dyDescent="0.25">
      <c r="L44" s="28"/>
      <c r="M44" s="28"/>
      <c r="N44" s="62"/>
      <c r="O44" s="23" t="s">
        <v>99</v>
      </c>
      <c r="P44" s="23" t="s">
        <v>1403</v>
      </c>
      <c r="Q44" s="23" t="s">
        <v>95</v>
      </c>
      <c r="R44" s="23" t="s">
        <v>87</v>
      </c>
      <c r="S44" s="58">
        <v>45875</v>
      </c>
      <c r="T44" s="23" t="s">
        <v>83</v>
      </c>
      <c r="U44" s="25" t="s">
        <v>113</v>
      </c>
      <c r="V44" s="25" t="s">
        <v>102</v>
      </c>
      <c r="W44" s="52" t="s">
        <v>83</v>
      </c>
      <c r="X44" s="52" t="s">
        <v>83</v>
      </c>
      <c r="Y44" s="53">
        <v>0</v>
      </c>
      <c r="Z44" s="53">
        <v>210.52</v>
      </c>
      <c r="AA44" s="5">
        <v>0</v>
      </c>
      <c r="AC44" s="28"/>
      <c r="AD44" s="29"/>
      <c r="AE44" s="29"/>
      <c r="AF44" s="29"/>
      <c r="AG44" s="30" t="s">
        <v>1225</v>
      </c>
      <c r="AH44" s="31"/>
      <c r="AI44" s="31"/>
      <c r="AJ44" s="31"/>
      <c r="AK44" s="31"/>
      <c r="AL44" s="32">
        <v>0</v>
      </c>
      <c r="AM44" s="33">
        <v>0</v>
      </c>
    </row>
    <row r="45" spans="12:39" x14ac:dyDescent="0.25">
      <c r="L45" s="28"/>
      <c r="M45" s="28"/>
      <c r="N45" s="59"/>
      <c r="O45" s="29"/>
      <c r="P45" s="29"/>
      <c r="Q45" s="29"/>
      <c r="R45" s="29"/>
      <c r="S45" s="59"/>
      <c r="T45" s="29"/>
      <c r="U45" s="25" t="s">
        <v>342</v>
      </c>
      <c r="V45" s="25" t="s">
        <v>102</v>
      </c>
      <c r="W45" s="52" t="s">
        <v>83</v>
      </c>
      <c r="X45" s="52" t="s">
        <v>83</v>
      </c>
      <c r="Y45" s="53">
        <v>0</v>
      </c>
      <c r="Z45" s="53">
        <v>23.39</v>
      </c>
      <c r="AA45" s="5">
        <v>0</v>
      </c>
      <c r="AC45" s="29"/>
      <c r="AD45" s="34" t="s">
        <v>355</v>
      </c>
      <c r="AE45" s="35"/>
      <c r="AF45" s="35"/>
      <c r="AG45" s="35"/>
      <c r="AH45" s="35"/>
      <c r="AI45" s="35"/>
      <c r="AJ45" s="35"/>
      <c r="AK45" s="35"/>
      <c r="AL45" s="36">
        <v>335.34</v>
      </c>
      <c r="AM45" s="37">
        <v>20879.09</v>
      </c>
    </row>
    <row r="46" spans="12:39" x14ac:dyDescent="0.25">
      <c r="L46" s="28"/>
      <c r="M46" s="28"/>
      <c r="N46" s="58">
        <v>45889</v>
      </c>
      <c r="O46" s="23" t="s">
        <v>93</v>
      </c>
      <c r="P46" s="25" t="s">
        <v>1406</v>
      </c>
      <c r="Q46" s="25" t="s">
        <v>98</v>
      </c>
      <c r="R46" s="25" t="s">
        <v>87</v>
      </c>
      <c r="S46" s="24">
        <v>45889</v>
      </c>
      <c r="T46" s="25" t="s">
        <v>83</v>
      </c>
      <c r="U46" s="25" t="s">
        <v>83</v>
      </c>
      <c r="V46" s="25" t="s">
        <v>96</v>
      </c>
      <c r="W46" s="52" t="s">
        <v>83</v>
      </c>
      <c r="X46" s="52" t="s">
        <v>83</v>
      </c>
      <c r="Y46" s="53">
        <v>0</v>
      </c>
      <c r="Z46" s="53">
        <v>0</v>
      </c>
      <c r="AA46" s="5">
        <v>-5.07</v>
      </c>
      <c r="AC46" s="38" t="s">
        <v>343</v>
      </c>
      <c r="AD46" s="39"/>
      <c r="AE46" s="39"/>
      <c r="AF46" s="39"/>
      <c r="AG46" s="39"/>
      <c r="AH46" s="39"/>
      <c r="AI46" s="39"/>
      <c r="AJ46" s="39"/>
      <c r="AK46" s="39"/>
      <c r="AL46" s="40">
        <v>335.34</v>
      </c>
      <c r="AM46" s="41">
        <v>20879.09</v>
      </c>
    </row>
    <row r="47" spans="12:39" x14ac:dyDescent="0.25">
      <c r="L47" s="28"/>
      <c r="M47" s="28"/>
      <c r="N47" s="62"/>
      <c r="O47" s="29"/>
      <c r="P47" s="25" t="s">
        <v>1404</v>
      </c>
      <c r="Q47" s="25" t="s">
        <v>98</v>
      </c>
      <c r="R47" s="25" t="s">
        <v>87</v>
      </c>
      <c r="S47" s="24">
        <v>45889</v>
      </c>
      <c r="T47" s="25" t="s">
        <v>83</v>
      </c>
      <c r="U47" s="25" t="s">
        <v>83</v>
      </c>
      <c r="V47" s="25" t="s">
        <v>96</v>
      </c>
      <c r="W47" s="52" t="s">
        <v>83</v>
      </c>
      <c r="X47" s="52" t="s">
        <v>83</v>
      </c>
      <c r="Y47" s="53">
        <v>0</v>
      </c>
      <c r="Z47" s="53">
        <v>0</v>
      </c>
      <c r="AA47" s="5">
        <v>-80.989999999999995</v>
      </c>
      <c r="AC47" s="42" t="s">
        <v>68</v>
      </c>
      <c r="AD47" s="43"/>
      <c r="AE47" s="43"/>
      <c r="AF47" s="43"/>
      <c r="AG47" s="43"/>
      <c r="AH47" s="43"/>
      <c r="AI47" s="43"/>
      <c r="AJ47" s="43"/>
      <c r="AK47" s="43"/>
      <c r="AL47" s="44">
        <v>335.34</v>
      </c>
      <c r="AM47" s="45">
        <v>20879.09</v>
      </c>
    </row>
    <row r="48" spans="12:39" x14ac:dyDescent="0.25">
      <c r="L48" s="29"/>
      <c r="M48" s="29"/>
      <c r="N48" s="59"/>
      <c r="O48" s="25" t="s">
        <v>99</v>
      </c>
      <c r="P48" s="25" t="s">
        <v>1405</v>
      </c>
      <c r="Q48" s="25" t="s">
        <v>95</v>
      </c>
      <c r="R48" s="25" t="s">
        <v>87</v>
      </c>
      <c r="S48" s="24">
        <v>45889</v>
      </c>
      <c r="T48" s="25" t="s">
        <v>83</v>
      </c>
      <c r="U48" s="25" t="s">
        <v>342</v>
      </c>
      <c r="V48" s="25" t="s">
        <v>102</v>
      </c>
      <c r="W48" s="52" t="s">
        <v>83</v>
      </c>
      <c r="X48" s="52" t="s">
        <v>83</v>
      </c>
      <c r="Y48" s="53">
        <v>0</v>
      </c>
      <c r="Z48" s="53">
        <v>233.9</v>
      </c>
      <c r="AA48" s="5">
        <v>0</v>
      </c>
    </row>
    <row r="49" spans="12:27" x14ac:dyDescent="0.25">
      <c r="L49" s="54" t="s">
        <v>468</v>
      </c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6">
        <v>0</v>
      </c>
      <c r="Z49" s="56">
        <v>790.18</v>
      </c>
      <c r="AA49" s="57">
        <v>1837.29</v>
      </c>
    </row>
    <row r="50" spans="12:27" x14ac:dyDescent="0.25">
      <c r="L50" s="23" t="s">
        <v>22</v>
      </c>
      <c r="M50" s="23" t="s">
        <v>23</v>
      </c>
      <c r="N50" s="24">
        <v>45845</v>
      </c>
      <c r="O50" s="25" t="s">
        <v>93</v>
      </c>
      <c r="P50" s="25" t="s">
        <v>1397</v>
      </c>
      <c r="Q50" s="25" t="s">
        <v>95</v>
      </c>
      <c r="R50" s="25" t="s">
        <v>87</v>
      </c>
      <c r="S50" s="24">
        <v>45845</v>
      </c>
      <c r="T50" s="25" t="s">
        <v>83</v>
      </c>
      <c r="U50" s="25" t="s">
        <v>83</v>
      </c>
      <c r="V50" s="25" t="s">
        <v>96</v>
      </c>
      <c r="W50" s="52" t="s">
        <v>83</v>
      </c>
      <c r="X50" s="52" t="s">
        <v>83</v>
      </c>
      <c r="Y50" s="53">
        <v>0</v>
      </c>
      <c r="Z50" s="53">
        <v>0</v>
      </c>
      <c r="AA50" s="5">
        <v>175.04</v>
      </c>
    </row>
    <row r="51" spans="12:27" x14ac:dyDescent="0.25">
      <c r="L51" s="28"/>
      <c r="M51" s="28"/>
      <c r="N51" s="58">
        <v>45854</v>
      </c>
      <c r="O51" s="25" t="s">
        <v>93</v>
      </c>
      <c r="P51" s="25" t="s">
        <v>1398</v>
      </c>
      <c r="Q51" s="25" t="s">
        <v>98</v>
      </c>
      <c r="R51" s="25" t="s">
        <v>87</v>
      </c>
      <c r="S51" s="24">
        <v>45854</v>
      </c>
      <c r="T51" s="25" t="s">
        <v>83</v>
      </c>
      <c r="U51" s="25" t="s">
        <v>83</v>
      </c>
      <c r="V51" s="25" t="s">
        <v>96</v>
      </c>
      <c r="W51" s="52" t="s">
        <v>83</v>
      </c>
      <c r="X51" s="52" t="s">
        <v>83</v>
      </c>
      <c r="Y51" s="53">
        <v>0</v>
      </c>
      <c r="Z51" s="53">
        <v>0</v>
      </c>
      <c r="AA51" s="5">
        <v>-20.8</v>
      </c>
    </row>
    <row r="52" spans="12:27" x14ac:dyDescent="0.25">
      <c r="L52" s="28"/>
      <c r="M52" s="28"/>
      <c r="N52" s="59"/>
      <c r="O52" s="25" t="s">
        <v>99</v>
      </c>
      <c r="P52" s="25" t="s">
        <v>1399</v>
      </c>
      <c r="Q52" s="25" t="s">
        <v>95</v>
      </c>
      <c r="R52" s="25" t="s">
        <v>87</v>
      </c>
      <c r="S52" s="24">
        <v>45854</v>
      </c>
      <c r="T52" s="25" t="s">
        <v>83</v>
      </c>
      <c r="U52" s="25" t="s">
        <v>113</v>
      </c>
      <c r="V52" s="25" t="s">
        <v>102</v>
      </c>
      <c r="W52" s="52" t="s">
        <v>83</v>
      </c>
      <c r="X52" s="52" t="s">
        <v>83</v>
      </c>
      <c r="Y52" s="53">
        <v>0</v>
      </c>
      <c r="Z52" s="53">
        <v>617.54999999999995</v>
      </c>
      <c r="AA52" s="5">
        <v>0</v>
      </c>
    </row>
    <row r="53" spans="12:27" x14ac:dyDescent="0.25">
      <c r="L53" s="28"/>
      <c r="M53" s="28"/>
      <c r="N53" s="58">
        <v>45861</v>
      </c>
      <c r="O53" s="25" t="s">
        <v>93</v>
      </c>
      <c r="P53" s="25" t="s">
        <v>1400</v>
      </c>
      <c r="Q53" s="25" t="s">
        <v>98</v>
      </c>
      <c r="R53" s="25" t="s">
        <v>87</v>
      </c>
      <c r="S53" s="24">
        <v>45861</v>
      </c>
      <c r="T53" s="25" t="s">
        <v>83</v>
      </c>
      <c r="U53" s="25" t="s">
        <v>83</v>
      </c>
      <c r="V53" s="25" t="s">
        <v>96</v>
      </c>
      <c r="W53" s="52" t="s">
        <v>83</v>
      </c>
      <c r="X53" s="52" t="s">
        <v>83</v>
      </c>
      <c r="Y53" s="53">
        <v>0</v>
      </c>
      <c r="Z53" s="53">
        <v>0</v>
      </c>
      <c r="AA53" s="5">
        <v>-51.2</v>
      </c>
    </row>
    <row r="54" spans="12:27" x14ac:dyDescent="0.25">
      <c r="L54" s="28"/>
      <c r="M54" s="28"/>
      <c r="N54" s="59"/>
      <c r="O54" s="25" t="s">
        <v>99</v>
      </c>
      <c r="P54" s="25" t="s">
        <v>1401</v>
      </c>
      <c r="Q54" s="25" t="s">
        <v>95</v>
      </c>
      <c r="R54" s="25" t="s">
        <v>87</v>
      </c>
      <c r="S54" s="24">
        <v>45861</v>
      </c>
      <c r="T54" s="25" t="s">
        <v>83</v>
      </c>
      <c r="U54" s="25" t="s">
        <v>113</v>
      </c>
      <c r="V54" s="25" t="s">
        <v>102</v>
      </c>
      <c r="W54" s="52" t="s">
        <v>83</v>
      </c>
      <c r="X54" s="52" t="s">
        <v>83</v>
      </c>
      <c r="Y54" s="53">
        <v>0</v>
      </c>
      <c r="Z54" s="53">
        <v>1029.24</v>
      </c>
      <c r="AA54" s="5">
        <v>0</v>
      </c>
    </row>
    <row r="55" spans="12:27" x14ac:dyDescent="0.25">
      <c r="L55" s="28"/>
      <c r="M55" s="28"/>
      <c r="N55" s="58">
        <v>45875</v>
      </c>
      <c r="O55" s="25" t="s">
        <v>93</v>
      </c>
      <c r="P55" s="25" t="s">
        <v>1402</v>
      </c>
      <c r="Q55" s="25" t="s">
        <v>98</v>
      </c>
      <c r="R55" s="25" t="s">
        <v>87</v>
      </c>
      <c r="S55" s="24">
        <v>45875</v>
      </c>
      <c r="T55" s="25" t="s">
        <v>83</v>
      </c>
      <c r="U55" s="25" t="s">
        <v>83</v>
      </c>
      <c r="V55" s="25" t="s">
        <v>96</v>
      </c>
      <c r="W55" s="52" t="s">
        <v>83</v>
      </c>
      <c r="X55" s="52" t="s">
        <v>83</v>
      </c>
      <c r="Y55" s="53">
        <v>0</v>
      </c>
      <c r="Z55" s="53">
        <v>0</v>
      </c>
      <c r="AA55" s="5">
        <v>-51.52</v>
      </c>
    </row>
    <row r="56" spans="12:27" x14ac:dyDescent="0.25">
      <c r="L56" s="28"/>
      <c r="M56" s="28"/>
      <c r="N56" s="62"/>
      <c r="O56" s="23" t="s">
        <v>99</v>
      </c>
      <c r="P56" s="23" t="s">
        <v>1403</v>
      </c>
      <c r="Q56" s="23" t="s">
        <v>95</v>
      </c>
      <c r="R56" s="23" t="s">
        <v>87</v>
      </c>
      <c r="S56" s="58">
        <v>45875</v>
      </c>
      <c r="T56" s="23" t="s">
        <v>83</v>
      </c>
      <c r="U56" s="25" t="s">
        <v>113</v>
      </c>
      <c r="V56" s="25" t="s">
        <v>102</v>
      </c>
      <c r="W56" s="52" t="s">
        <v>83</v>
      </c>
      <c r="X56" s="52" t="s">
        <v>83</v>
      </c>
      <c r="Y56" s="53">
        <v>0</v>
      </c>
      <c r="Z56" s="53">
        <v>926.32</v>
      </c>
      <c r="AA56" s="5">
        <v>0</v>
      </c>
    </row>
    <row r="57" spans="12:27" x14ac:dyDescent="0.25">
      <c r="L57" s="28"/>
      <c r="M57" s="28"/>
      <c r="N57" s="59"/>
      <c r="O57" s="29"/>
      <c r="P57" s="29"/>
      <c r="Q57" s="29"/>
      <c r="R57" s="29"/>
      <c r="S57" s="59"/>
      <c r="T57" s="29"/>
      <c r="U57" s="25" t="s">
        <v>342</v>
      </c>
      <c r="V57" s="25" t="s">
        <v>102</v>
      </c>
      <c r="W57" s="52" t="s">
        <v>83</v>
      </c>
      <c r="X57" s="52" t="s">
        <v>83</v>
      </c>
      <c r="Y57" s="53">
        <v>0</v>
      </c>
      <c r="Z57" s="53">
        <v>102.92</v>
      </c>
      <c r="AA57" s="5">
        <v>0</v>
      </c>
    </row>
    <row r="58" spans="12:27" x14ac:dyDescent="0.25">
      <c r="L58" s="28"/>
      <c r="M58" s="28"/>
      <c r="N58" s="58">
        <v>45889</v>
      </c>
      <c r="O58" s="25" t="s">
        <v>93</v>
      </c>
      <c r="P58" s="25" t="s">
        <v>1406</v>
      </c>
      <c r="Q58" s="25" t="s">
        <v>98</v>
      </c>
      <c r="R58" s="25" t="s">
        <v>87</v>
      </c>
      <c r="S58" s="24">
        <v>45889</v>
      </c>
      <c r="T58" s="25" t="s">
        <v>83</v>
      </c>
      <c r="U58" s="25" t="s">
        <v>83</v>
      </c>
      <c r="V58" s="25" t="s">
        <v>96</v>
      </c>
      <c r="W58" s="52" t="s">
        <v>83</v>
      </c>
      <c r="X58" s="52" t="s">
        <v>83</v>
      </c>
      <c r="Y58" s="53">
        <v>0</v>
      </c>
      <c r="Z58" s="53">
        <v>0</v>
      </c>
      <c r="AA58" s="5">
        <v>-51.52</v>
      </c>
    </row>
    <row r="59" spans="12:27" x14ac:dyDescent="0.25">
      <c r="L59" s="29"/>
      <c r="M59" s="29"/>
      <c r="N59" s="59"/>
      <c r="O59" s="25" t="s">
        <v>99</v>
      </c>
      <c r="P59" s="25" t="s">
        <v>1405</v>
      </c>
      <c r="Q59" s="25" t="s">
        <v>95</v>
      </c>
      <c r="R59" s="25" t="s">
        <v>87</v>
      </c>
      <c r="S59" s="24">
        <v>45889</v>
      </c>
      <c r="T59" s="25" t="s">
        <v>83</v>
      </c>
      <c r="U59" s="25" t="s">
        <v>342</v>
      </c>
      <c r="V59" s="25" t="s">
        <v>102</v>
      </c>
      <c r="W59" s="52" t="s">
        <v>83</v>
      </c>
      <c r="X59" s="52" t="s">
        <v>83</v>
      </c>
      <c r="Y59" s="53">
        <v>0</v>
      </c>
      <c r="Z59" s="53">
        <v>720.47</v>
      </c>
      <c r="AA59" s="5">
        <v>0</v>
      </c>
    </row>
    <row r="60" spans="12:27" x14ac:dyDescent="0.25">
      <c r="L60" s="54" t="s">
        <v>110</v>
      </c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6">
        <v>0</v>
      </c>
      <c r="Z60" s="56">
        <v>3396.5</v>
      </c>
      <c r="AA60" s="57">
        <v>-2.8421709430404001E-14</v>
      </c>
    </row>
    <row r="61" spans="12:27" x14ac:dyDescent="0.25">
      <c r="L61" s="25" t="s">
        <v>380</v>
      </c>
      <c r="M61" s="25" t="s">
        <v>381</v>
      </c>
      <c r="N61" s="24">
        <v>45889</v>
      </c>
      <c r="O61" s="25" t="s">
        <v>111</v>
      </c>
      <c r="P61" s="25" t="s">
        <v>1407</v>
      </c>
      <c r="Q61" s="25" t="s">
        <v>113</v>
      </c>
      <c r="R61" s="60" t="s">
        <v>114</v>
      </c>
      <c r="S61" s="24">
        <v>45889</v>
      </c>
      <c r="T61" s="25" t="s">
        <v>83</v>
      </c>
      <c r="U61" s="25" t="s">
        <v>83</v>
      </c>
      <c r="V61" s="25" t="s">
        <v>1408</v>
      </c>
      <c r="W61" s="52" t="s">
        <v>1409</v>
      </c>
      <c r="X61" s="52" t="s">
        <v>83</v>
      </c>
      <c r="Y61" s="53">
        <v>0</v>
      </c>
      <c r="Z61" s="53">
        <v>868.34</v>
      </c>
      <c r="AA61" s="5">
        <v>0</v>
      </c>
    </row>
    <row r="62" spans="12:27" x14ac:dyDescent="0.25">
      <c r="L62" s="54" t="s">
        <v>477</v>
      </c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6">
        <v>0</v>
      </c>
      <c r="Z62" s="56">
        <v>868.34</v>
      </c>
      <c r="AA62" s="57">
        <v>0</v>
      </c>
    </row>
    <row r="63" spans="12:27" x14ac:dyDescent="0.25">
      <c r="L63" s="25" t="s">
        <v>382</v>
      </c>
      <c r="M63" s="25" t="s">
        <v>383</v>
      </c>
      <c r="N63" s="24">
        <v>45868</v>
      </c>
      <c r="O63" s="25" t="s">
        <v>111</v>
      </c>
      <c r="P63" s="25" t="s">
        <v>1410</v>
      </c>
      <c r="Q63" s="25" t="s">
        <v>113</v>
      </c>
      <c r="R63" s="60" t="s">
        <v>114</v>
      </c>
      <c r="S63" s="24">
        <v>45868</v>
      </c>
      <c r="T63" s="25" t="s">
        <v>83</v>
      </c>
      <c r="U63" s="25" t="s">
        <v>83</v>
      </c>
      <c r="V63" s="25" t="s">
        <v>1411</v>
      </c>
      <c r="W63" s="52" t="s">
        <v>1412</v>
      </c>
      <c r="X63" s="52" t="s">
        <v>83</v>
      </c>
      <c r="Y63" s="53">
        <v>0</v>
      </c>
      <c r="Z63" s="53">
        <v>179.4</v>
      </c>
      <c r="AA63" s="5">
        <v>0</v>
      </c>
    </row>
    <row r="64" spans="12:27" x14ac:dyDescent="0.25">
      <c r="L64" s="54" t="s">
        <v>484</v>
      </c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6">
        <v>0</v>
      </c>
      <c r="Z64" s="56">
        <v>179.4</v>
      </c>
      <c r="AA64" s="57">
        <v>0</v>
      </c>
    </row>
    <row r="65" spans="12:27" x14ac:dyDescent="0.25">
      <c r="L65" s="23" t="s">
        <v>37</v>
      </c>
      <c r="M65" s="23" t="s">
        <v>38</v>
      </c>
      <c r="N65" s="24">
        <v>45849</v>
      </c>
      <c r="O65" s="25" t="s">
        <v>154</v>
      </c>
      <c r="P65" s="25" t="s">
        <v>1413</v>
      </c>
      <c r="Q65" s="25" t="s">
        <v>113</v>
      </c>
      <c r="R65" s="60" t="s">
        <v>114</v>
      </c>
      <c r="S65" s="24">
        <v>45849</v>
      </c>
      <c r="T65" s="25" t="s">
        <v>1414</v>
      </c>
      <c r="U65" s="25" t="s">
        <v>83</v>
      </c>
      <c r="V65" s="25" t="s">
        <v>560</v>
      </c>
      <c r="W65" s="52" t="s">
        <v>1415</v>
      </c>
      <c r="X65" s="52" t="s">
        <v>560</v>
      </c>
      <c r="Y65" s="53">
        <v>0</v>
      </c>
      <c r="Z65" s="53">
        <v>0</v>
      </c>
      <c r="AA65" s="5">
        <v>89.97</v>
      </c>
    </row>
    <row r="66" spans="12:27" x14ac:dyDescent="0.25">
      <c r="L66" s="28"/>
      <c r="M66" s="28"/>
      <c r="N66" s="24">
        <v>45862</v>
      </c>
      <c r="O66" s="25" t="s">
        <v>253</v>
      </c>
      <c r="P66" s="25" t="s">
        <v>1416</v>
      </c>
      <c r="Q66" s="25" t="s">
        <v>113</v>
      </c>
      <c r="R66" s="60" t="s">
        <v>114</v>
      </c>
      <c r="S66" s="24">
        <v>45862</v>
      </c>
      <c r="T66" s="25" t="s">
        <v>1414</v>
      </c>
      <c r="U66" s="25" t="s">
        <v>1417</v>
      </c>
      <c r="V66" s="25" t="s">
        <v>560</v>
      </c>
      <c r="W66" s="52" t="s">
        <v>1418</v>
      </c>
      <c r="X66" s="52" t="s">
        <v>560</v>
      </c>
      <c r="Y66" s="53">
        <v>0</v>
      </c>
      <c r="Z66" s="53">
        <v>97.26</v>
      </c>
      <c r="AA66" s="5">
        <v>-89.97</v>
      </c>
    </row>
    <row r="67" spans="12:27" x14ac:dyDescent="0.25">
      <c r="L67" s="28"/>
      <c r="M67" s="28"/>
      <c r="N67" s="24">
        <v>45863</v>
      </c>
      <c r="O67" s="25" t="s">
        <v>253</v>
      </c>
      <c r="P67" s="25" t="s">
        <v>1419</v>
      </c>
      <c r="Q67" s="25" t="s">
        <v>113</v>
      </c>
      <c r="R67" s="60" t="s">
        <v>114</v>
      </c>
      <c r="S67" s="24">
        <v>45863</v>
      </c>
      <c r="T67" s="25" t="s">
        <v>1097</v>
      </c>
      <c r="U67" s="25" t="s">
        <v>83</v>
      </c>
      <c r="V67" s="25" t="s">
        <v>1098</v>
      </c>
      <c r="W67" s="52" t="s">
        <v>1420</v>
      </c>
      <c r="X67" s="52" t="s">
        <v>1098</v>
      </c>
      <c r="Y67" s="53">
        <v>0</v>
      </c>
      <c r="Z67" s="53">
        <v>22.26</v>
      </c>
      <c r="AA67" s="5">
        <v>-22.26</v>
      </c>
    </row>
    <row r="68" spans="12:27" x14ac:dyDescent="0.25">
      <c r="L68" s="28"/>
      <c r="M68" s="28"/>
      <c r="N68" s="24">
        <v>45868</v>
      </c>
      <c r="O68" s="25" t="s">
        <v>111</v>
      </c>
      <c r="P68" s="25" t="s">
        <v>1421</v>
      </c>
      <c r="Q68" s="25" t="s">
        <v>113</v>
      </c>
      <c r="R68" s="60" t="s">
        <v>114</v>
      </c>
      <c r="S68" s="24">
        <v>45868</v>
      </c>
      <c r="T68" s="25" t="s">
        <v>83</v>
      </c>
      <c r="U68" s="25" t="s">
        <v>83</v>
      </c>
      <c r="V68" s="25" t="s">
        <v>1422</v>
      </c>
      <c r="W68" s="52" t="s">
        <v>1423</v>
      </c>
      <c r="X68" s="52" t="s">
        <v>83</v>
      </c>
      <c r="Y68" s="53">
        <v>0</v>
      </c>
      <c r="Z68" s="53">
        <v>179.19</v>
      </c>
      <c r="AA68" s="5">
        <v>0</v>
      </c>
    </row>
    <row r="69" spans="12:27" x14ac:dyDescent="0.25">
      <c r="L69" s="28"/>
      <c r="M69" s="28"/>
      <c r="N69" s="58">
        <v>45869</v>
      </c>
      <c r="O69" s="23" t="s">
        <v>154</v>
      </c>
      <c r="P69" s="25" t="s">
        <v>663</v>
      </c>
      <c r="Q69" s="25" t="s">
        <v>113</v>
      </c>
      <c r="R69" s="60" t="s">
        <v>114</v>
      </c>
      <c r="S69" s="24">
        <v>45853</v>
      </c>
      <c r="T69" s="25" t="s">
        <v>663</v>
      </c>
      <c r="U69" s="25" t="s">
        <v>83</v>
      </c>
      <c r="V69" s="25" t="s">
        <v>560</v>
      </c>
      <c r="W69" s="52" t="s">
        <v>1424</v>
      </c>
      <c r="X69" s="52" t="s">
        <v>83</v>
      </c>
      <c r="Y69" s="53">
        <v>0</v>
      </c>
      <c r="Z69" s="53">
        <v>0</v>
      </c>
      <c r="AA69" s="5">
        <v>166.88</v>
      </c>
    </row>
    <row r="70" spans="12:27" x14ac:dyDescent="0.25">
      <c r="L70" s="28"/>
      <c r="M70" s="28"/>
      <c r="N70" s="62"/>
      <c r="O70" s="28"/>
      <c r="P70" s="25" t="s">
        <v>1011</v>
      </c>
      <c r="Q70" s="25" t="s">
        <v>113</v>
      </c>
      <c r="R70" s="60" t="s">
        <v>114</v>
      </c>
      <c r="S70" s="24">
        <v>45853</v>
      </c>
      <c r="T70" s="25" t="s">
        <v>1011</v>
      </c>
      <c r="U70" s="25" t="s">
        <v>83</v>
      </c>
      <c r="V70" s="25" t="s">
        <v>560</v>
      </c>
      <c r="W70" s="52" t="s">
        <v>1425</v>
      </c>
      <c r="X70" s="52" t="s">
        <v>1426</v>
      </c>
      <c r="Y70" s="53">
        <v>0</v>
      </c>
      <c r="Z70" s="53">
        <v>0</v>
      </c>
      <c r="AA70" s="5">
        <v>91.78</v>
      </c>
    </row>
    <row r="71" spans="12:27" x14ac:dyDescent="0.25">
      <c r="L71" s="28"/>
      <c r="M71" s="28"/>
      <c r="N71" s="59"/>
      <c r="O71" s="29"/>
      <c r="P71" s="25" t="s">
        <v>1097</v>
      </c>
      <c r="Q71" s="25" t="s">
        <v>113</v>
      </c>
      <c r="R71" s="60" t="s">
        <v>114</v>
      </c>
      <c r="S71" s="24">
        <v>45853</v>
      </c>
      <c r="T71" s="25" t="s">
        <v>1097</v>
      </c>
      <c r="U71" s="25" t="s">
        <v>83</v>
      </c>
      <c r="V71" s="25" t="s">
        <v>1098</v>
      </c>
      <c r="W71" s="52" t="s">
        <v>1427</v>
      </c>
      <c r="X71" s="52" t="s">
        <v>83</v>
      </c>
      <c r="Y71" s="53">
        <v>0</v>
      </c>
      <c r="Z71" s="53">
        <v>0</v>
      </c>
      <c r="AA71" s="5">
        <v>22.26</v>
      </c>
    </row>
    <row r="72" spans="12:27" x14ac:dyDescent="0.25">
      <c r="L72" s="28"/>
      <c r="M72" s="28"/>
      <c r="N72" s="58">
        <v>45874</v>
      </c>
      <c r="O72" s="23" t="s">
        <v>111</v>
      </c>
      <c r="P72" s="25" t="s">
        <v>1428</v>
      </c>
      <c r="Q72" s="25" t="s">
        <v>113</v>
      </c>
      <c r="R72" s="60" t="s">
        <v>114</v>
      </c>
      <c r="S72" s="24">
        <v>45874</v>
      </c>
      <c r="T72" s="25" t="s">
        <v>83</v>
      </c>
      <c r="U72" s="25" t="s">
        <v>83</v>
      </c>
      <c r="V72" s="25" t="s">
        <v>1429</v>
      </c>
      <c r="W72" s="52" t="s">
        <v>1430</v>
      </c>
      <c r="X72" s="52" t="s">
        <v>83</v>
      </c>
      <c r="Y72" s="53">
        <v>0</v>
      </c>
      <c r="Z72" s="53">
        <v>233.85</v>
      </c>
      <c r="AA72" s="5">
        <v>0</v>
      </c>
    </row>
    <row r="73" spans="12:27" x14ac:dyDescent="0.25">
      <c r="L73" s="28"/>
      <c r="M73" s="28"/>
      <c r="N73" s="62"/>
      <c r="O73" s="28"/>
      <c r="P73" s="25" t="s">
        <v>1431</v>
      </c>
      <c r="Q73" s="25" t="s">
        <v>113</v>
      </c>
      <c r="R73" s="60" t="s">
        <v>114</v>
      </c>
      <c r="S73" s="24">
        <v>45874</v>
      </c>
      <c r="T73" s="25" t="s">
        <v>83</v>
      </c>
      <c r="U73" s="25" t="s">
        <v>83</v>
      </c>
      <c r="V73" s="25" t="s">
        <v>1432</v>
      </c>
      <c r="W73" s="52" t="s">
        <v>1433</v>
      </c>
      <c r="X73" s="52" t="s">
        <v>83</v>
      </c>
      <c r="Y73" s="53">
        <v>0</v>
      </c>
      <c r="Z73" s="53">
        <v>10.34</v>
      </c>
      <c r="AA73" s="5">
        <v>0</v>
      </c>
    </row>
    <row r="74" spans="12:27" x14ac:dyDescent="0.25">
      <c r="L74" s="28"/>
      <c r="M74" s="28"/>
      <c r="N74" s="59"/>
      <c r="O74" s="29"/>
      <c r="P74" s="25" t="s">
        <v>1434</v>
      </c>
      <c r="Q74" s="25" t="s">
        <v>113</v>
      </c>
      <c r="R74" s="60" t="s">
        <v>114</v>
      </c>
      <c r="S74" s="24">
        <v>45874</v>
      </c>
      <c r="T74" s="25" t="s">
        <v>83</v>
      </c>
      <c r="U74" s="25" t="s">
        <v>83</v>
      </c>
      <c r="V74" s="25" t="s">
        <v>1435</v>
      </c>
      <c r="W74" s="52" t="s">
        <v>1436</v>
      </c>
      <c r="X74" s="52" t="s">
        <v>83</v>
      </c>
      <c r="Y74" s="53">
        <v>0</v>
      </c>
      <c r="Z74" s="53">
        <v>410.9</v>
      </c>
      <c r="AA74" s="5">
        <v>0</v>
      </c>
    </row>
    <row r="75" spans="12:27" x14ac:dyDescent="0.25">
      <c r="L75" s="28"/>
      <c r="M75" s="28"/>
      <c r="N75" s="58">
        <v>45889</v>
      </c>
      <c r="O75" s="23" t="s">
        <v>111</v>
      </c>
      <c r="P75" s="25" t="s">
        <v>1437</v>
      </c>
      <c r="Q75" s="25" t="s">
        <v>113</v>
      </c>
      <c r="R75" s="60" t="s">
        <v>114</v>
      </c>
      <c r="S75" s="24">
        <v>45889</v>
      </c>
      <c r="T75" s="25" t="s">
        <v>83</v>
      </c>
      <c r="U75" s="25" t="s">
        <v>83</v>
      </c>
      <c r="V75" s="25" t="s">
        <v>1438</v>
      </c>
      <c r="W75" s="52" t="s">
        <v>1439</v>
      </c>
      <c r="X75" s="52" t="s">
        <v>83</v>
      </c>
      <c r="Y75" s="53">
        <v>0</v>
      </c>
      <c r="Z75" s="53">
        <v>44.56</v>
      </c>
      <c r="AA75" s="5">
        <v>0</v>
      </c>
    </row>
    <row r="76" spans="12:27" x14ac:dyDescent="0.25">
      <c r="L76" s="28"/>
      <c r="M76" s="28"/>
      <c r="N76" s="62"/>
      <c r="O76" s="28"/>
      <c r="P76" s="25" t="s">
        <v>1440</v>
      </c>
      <c r="Q76" s="25" t="s">
        <v>113</v>
      </c>
      <c r="R76" s="60" t="s">
        <v>114</v>
      </c>
      <c r="S76" s="24">
        <v>45889</v>
      </c>
      <c r="T76" s="25" t="s">
        <v>83</v>
      </c>
      <c r="U76" s="25" t="s">
        <v>83</v>
      </c>
      <c r="V76" s="25" t="s">
        <v>1438</v>
      </c>
      <c r="W76" s="52" t="s">
        <v>1441</v>
      </c>
      <c r="X76" s="52" t="s">
        <v>83</v>
      </c>
      <c r="Y76" s="53">
        <v>0</v>
      </c>
      <c r="Z76" s="53">
        <v>69.75</v>
      </c>
      <c r="AA76" s="5">
        <v>0</v>
      </c>
    </row>
    <row r="77" spans="12:27" x14ac:dyDescent="0.25">
      <c r="L77" s="28"/>
      <c r="M77" s="28"/>
      <c r="N77" s="62"/>
      <c r="O77" s="28"/>
      <c r="P77" s="23" t="s">
        <v>1442</v>
      </c>
      <c r="Q77" s="23" t="s">
        <v>113</v>
      </c>
      <c r="R77" s="61" t="s">
        <v>114</v>
      </c>
      <c r="S77" s="58">
        <v>45889</v>
      </c>
      <c r="T77" s="23" t="s">
        <v>83</v>
      </c>
      <c r="U77" s="23" t="s">
        <v>83</v>
      </c>
      <c r="V77" s="25" t="s">
        <v>1443</v>
      </c>
      <c r="W77" s="52" t="s">
        <v>1444</v>
      </c>
      <c r="X77" s="52" t="s">
        <v>83</v>
      </c>
      <c r="Y77" s="53">
        <v>0</v>
      </c>
      <c r="Z77" s="53">
        <v>97.2</v>
      </c>
      <c r="AA77" s="5">
        <v>0</v>
      </c>
    </row>
    <row r="78" spans="12:27" x14ac:dyDescent="0.25">
      <c r="L78" s="28"/>
      <c r="M78" s="28"/>
      <c r="N78" s="62"/>
      <c r="O78" s="28"/>
      <c r="P78" s="29"/>
      <c r="Q78" s="29"/>
      <c r="R78" s="63"/>
      <c r="S78" s="59"/>
      <c r="T78" s="29"/>
      <c r="U78" s="29"/>
      <c r="V78" s="25" t="s">
        <v>1445</v>
      </c>
      <c r="W78" s="52" t="s">
        <v>1444</v>
      </c>
      <c r="X78" s="52" t="s">
        <v>83</v>
      </c>
      <c r="Y78" s="53">
        <v>0</v>
      </c>
      <c r="Z78" s="53">
        <v>12.82</v>
      </c>
      <c r="AA78" s="5">
        <v>0</v>
      </c>
    </row>
    <row r="79" spans="12:27" x14ac:dyDescent="0.25">
      <c r="L79" s="28"/>
      <c r="M79" s="28"/>
      <c r="N79" s="62"/>
      <c r="O79" s="28"/>
      <c r="P79" s="25" t="s">
        <v>1446</v>
      </c>
      <c r="Q79" s="25" t="s">
        <v>113</v>
      </c>
      <c r="R79" s="60" t="s">
        <v>114</v>
      </c>
      <c r="S79" s="24">
        <v>45889</v>
      </c>
      <c r="T79" s="25" t="s">
        <v>83</v>
      </c>
      <c r="U79" s="25" t="s">
        <v>83</v>
      </c>
      <c r="V79" s="25" t="s">
        <v>1447</v>
      </c>
      <c r="W79" s="52" t="s">
        <v>1448</v>
      </c>
      <c r="X79" s="52" t="s">
        <v>83</v>
      </c>
      <c r="Y79" s="53">
        <v>0</v>
      </c>
      <c r="Z79" s="53">
        <v>38.68</v>
      </c>
      <c r="AA79" s="5">
        <v>0</v>
      </c>
    </row>
    <row r="80" spans="12:27" x14ac:dyDescent="0.25">
      <c r="L80" s="28"/>
      <c r="M80" s="28"/>
      <c r="N80" s="62"/>
      <c r="O80" s="28"/>
      <c r="P80" s="25" t="s">
        <v>1449</v>
      </c>
      <c r="Q80" s="25" t="s">
        <v>113</v>
      </c>
      <c r="R80" s="60" t="s">
        <v>114</v>
      </c>
      <c r="S80" s="24">
        <v>45889</v>
      </c>
      <c r="T80" s="25" t="s">
        <v>83</v>
      </c>
      <c r="U80" s="25" t="s">
        <v>83</v>
      </c>
      <c r="V80" s="25" t="s">
        <v>1438</v>
      </c>
      <c r="W80" s="52" t="s">
        <v>1450</v>
      </c>
      <c r="X80" s="52" t="s">
        <v>83</v>
      </c>
      <c r="Y80" s="53">
        <v>0</v>
      </c>
      <c r="Z80" s="53">
        <v>128.63</v>
      </c>
      <c r="AA80" s="5">
        <v>0</v>
      </c>
    </row>
    <row r="81" spans="12:27" x14ac:dyDescent="0.25">
      <c r="L81" s="29"/>
      <c r="M81" s="29"/>
      <c r="N81" s="59"/>
      <c r="O81" s="29"/>
      <c r="P81" s="25" t="s">
        <v>1451</v>
      </c>
      <c r="Q81" s="25" t="s">
        <v>113</v>
      </c>
      <c r="R81" s="60" t="s">
        <v>114</v>
      </c>
      <c r="S81" s="24">
        <v>45889</v>
      </c>
      <c r="T81" s="25" t="s">
        <v>83</v>
      </c>
      <c r="U81" s="25" t="s">
        <v>83</v>
      </c>
      <c r="V81" s="25" t="s">
        <v>1452</v>
      </c>
      <c r="W81" s="52" t="s">
        <v>1453</v>
      </c>
      <c r="X81" s="52" t="s">
        <v>83</v>
      </c>
      <c r="Y81" s="53">
        <v>0</v>
      </c>
      <c r="Z81" s="53">
        <v>205.84</v>
      </c>
      <c r="AA81" s="5">
        <v>0</v>
      </c>
    </row>
    <row r="82" spans="12:27" x14ac:dyDescent="0.25">
      <c r="L82" s="54" t="s">
        <v>193</v>
      </c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6">
        <v>0</v>
      </c>
      <c r="Z82" s="56">
        <v>1551.28</v>
      </c>
      <c r="AA82" s="57">
        <v>258.66000000000003</v>
      </c>
    </row>
    <row r="83" spans="12:27" x14ac:dyDescent="0.25">
      <c r="L83" s="25" t="s">
        <v>58</v>
      </c>
      <c r="M83" s="25" t="s">
        <v>59</v>
      </c>
      <c r="N83" s="24">
        <v>45849</v>
      </c>
      <c r="O83" s="25" t="s">
        <v>228</v>
      </c>
      <c r="P83" s="25" t="s">
        <v>1454</v>
      </c>
      <c r="Q83" s="25" t="s">
        <v>113</v>
      </c>
      <c r="R83" s="60" t="s">
        <v>114</v>
      </c>
      <c r="S83" s="24">
        <v>45849</v>
      </c>
      <c r="T83" s="25" t="s">
        <v>83</v>
      </c>
      <c r="U83" s="25" t="s">
        <v>1455</v>
      </c>
      <c r="V83" s="25" t="s">
        <v>1456</v>
      </c>
      <c r="W83" s="52" t="s">
        <v>1457</v>
      </c>
      <c r="X83" s="52" t="s">
        <v>83</v>
      </c>
      <c r="Y83" s="53">
        <v>0</v>
      </c>
      <c r="Z83" s="53">
        <v>799.98</v>
      </c>
      <c r="AA83" s="5">
        <v>0</v>
      </c>
    </row>
    <row r="84" spans="12:27" x14ac:dyDescent="0.25">
      <c r="L84" s="54" t="s">
        <v>321</v>
      </c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6">
        <v>0</v>
      </c>
      <c r="Z84" s="56">
        <v>799.98</v>
      </c>
      <c r="AA84" s="57">
        <v>0</v>
      </c>
    </row>
  </sheetData>
  <mergeCells count="3">
    <mergeCell ref="L2:AA2"/>
    <mergeCell ref="AC2:AM2"/>
    <mergeCell ref="B2:J2"/>
  </mergeCells>
  <hyperlinks>
    <hyperlink ref="R63" r:id="rId1" xr:uid="{1372B3A9-804D-4582-9A18-BD0D1C40F4CC}"/>
    <hyperlink ref="R61" r:id="rId2" xr:uid="{7AAE8B6D-47C8-4609-BCD6-A87BA7D2199D}"/>
    <hyperlink ref="R83" r:id="rId3" xr:uid="{5BC08A21-263E-4BC1-9251-88502700A8AF}"/>
    <hyperlink ref="R81" r:id="rId4" xr:uid="{369CB581-BF42-4000-B4F7-62C5F64A2C07}"/>
    <hyperlink ref="R80" r:id="rId5" xr:uid="{B6C2F210-E679-4513-A04E-DF9DC20865CD}"/>
    <hyperlink ref="R79" r:id="rId6" xr:uid="{9F1ADCF6-8982-4FF9-B3D6-B76D437DD117}"/>
    <hyperlink ref="R77" r:id="rId7" xr:uid="{7D7EDB2E-D876-4011-BF6A-3E203DAA770F}"/>
    <hyperlink ref="R76" r:id="rId8" xr:uid="{8B87C4DC-43FE-4974-A46C-773B3DB10A22}"/>
    <hyperlink ref="R75" r:id="rId9" xr:uid="{8FFF0622-F327-4979-B83B-8FC52275E4EA}"/>
    <hyperlink ref="R74" r:id="rId10" xr:uid="{6196602B-8863-4E68-AC44-94BA11778AFB}"/>
    <hyperlink ref="R73" r:id="rId11" xr:uid="{3C82A131-B91A-4C59-91CA-51615927EE09}"/>
    <hyperlink ref="R72" r:id="rId12" xr:uid="{493EB990-79CD-4174-8F53-C6B6BEB79418}"/>
    <hyperlink ref="R71" r:id="rId13" xr:uid="{51FA1885-4416-45C3-B025-780A988BEE6B}"/>
    <hyperlink ref="R70" r:id="rId14" xr:uid="{D01AB1F2-7B46-4BB8-AF7C-0EA81782C858}"/>
    <hyperlink ref="R69" r:id="rId15" xr:uid="{D55D85E7-924D-4224-BBFE-DD01B62C488F}"/>
    <hyperlink ref="R68" r:id="rId16" xr:uid="{C0EB270A-1647-45CB-AB09-000E27D9C9BF}"/>
    <hyperlink ref="R67" r:id="rId17" xr:uid="{642F5998-151C-4DCF-A3BB-C85CF8F07A90}"/>
    <hyperlink ref="R66" r:id="rId18" xr:uid="{239BC461-9BDE-415D-BC15-6C2211C1FA69}"/>
    <hyperlink ref="R65" r:id="rId19" xr:uid="{047B5BE9-BA5F-4733-8878-16A6B0A6D5D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2CB3-C183-4032-84B4-C45FADF53EC0}">
  <sheetPr>
    <tabColor theme="9" tint="0.79998168889431442"/>
  </sheetPr>
  <dimension ref="B2:AA11"/>
  <sheetViews>
    <sheetView showGridLines="0" workbookViewId="0">
      <selection activeCell="B10" sqref="B10"/>
    </sheetView>
  </sheetViews>
  <sheetFormatPr defaultRowHeight="15" x14ac:dyDescent="0.25"/>
  <cols>
    <col min="1" max="1" width="3.28515625" customWidth="1"/>
    <col min="2" max="2" width="16" bestFit="1" customWidth="1"/>
    <col min="3" max="3" width="26.28515625" bestFit="1" customWidth="1"/>
    <col min="4" max="4" width="11.85546875" bestFit="1" customWidth="1"/>
    <col min="5" max="5" width="23.42578125" bestFit="1" customWidth="1"/>
    <col min="6" max="6" width="15" bestFit="1" customWidth="1"/>
    <col min="7" max="7" width="17.85546875" bestFit="1" customWidth="1"/>
    <col min="8" max="8" width="16.85546875" bestFit="1" customWidth="1"/>
    <col min="9" max="9" width="19.7109375" bestFit="1" customWidth="1"/>
    <col min="10" max="10" width="16.7109375" bestFit="1" customWidth="1"/>
    <col min="11" max="11" width="3.28515625" customWidth="1"/>
    <col min="12" max="12" width="11.85546875" bestFit="1" customWidth="1"/>
    <col min="13" max="13" width="23" bestFit="1" customWidth="1"/>
    <col min="14" max="14" width="15.85546875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5.28515625" bestFit="1" customWidth="1"/>
    <col min="19" max="19" width="10.7109375" bestFit="1" customWidth="1"/>
    <col min="20" max="20" width="7.42578125" customWidth="1"/>
    <col min="21" max="21" width="10" customWidth="1"/>
    <col min="22" max="22" width="24" bestFit="1" customWidth="1"/>
    <col min="23" max="23" width="58.42578125" customWidth="1"/>
    <col min="24" max="24" width="24" bestFit="1" customWidth="1"/>
    <col min="25" max="25" width="22.42578125" bestFit="1" customWidth="1"/>
    <col min="26" max="26" width="21.42578125" bestFit="1" customWidth="1"/>
    <col min="27" max="27" width="20.7109375" bestFit="1" customWidth="1"/>
  </cols>
  <sheetData>
    <row r="2" spans="2:27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3" spans="2:27" x14ac:dyDescent="0.25">
      <c r="B3" s="82"/>
      <c r="C3" s="82"/>
      <c r="D3" s="82"/>
      <c r="E3" s="82"/>
      <c r="F3" s="82"/>
      <c r="G3" s="82"/>
      <c r="H3" s="82"/>
      <c r="I3" s="82"/>
      <c r="J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 spans="2:27" x14ac:dyDescent="0.25"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L4" s="46" t="s">
        <v>2</v>
      </c>
      <c r="M4" s="46" t="s">
        <v>3</v>
      </c>
      <c r="N4" s="46" t="s">
        <v>69</v>
      </c>
      <c r="O4" s="14" t="s">
        <v>70</v>
      </c>
      <c r="P4" s="14" t="s">
        <v>71</v>
      </c>
      <c r="Q4" s="14" t="s">
        <v>72</v>
      </c>
      <c r="R4" s="14" t="s">
        <v>73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79</v>
      </c>
      <c r="Y4" s="15" t="s">
        <v>80</v>
      </c>
      <c r="Z4" s="15" t="s">
        <v>81</v>
      </c>
      <c r="AA4" s="16" t="s">
        <v>82</v>
      </c>
    </row>
    <row r="5" spans="2:27" x14ac:dyDescent="0.25">
      <c r="B5" s="2" t="s">
        <v>1227</v>
      </c>
      <c r="C5" s="8" t="s">
        <v>10</v>
      </c>
      <c r="D5" s="3" t="s">
        <v>1228</v>
      </c>
      <c r="E5" s="3" t="s">
        <v>1229</v>
      </c>
      <c r="F5" s="4">
        <v>0</v>
      </c>
      <c r="G5" s="4">
        <v>-20000</v>
      </c>
      <c r="H5" s="4">
        <v>-20000</v>
      </c>
      <c r="I5" s="19">
        <v>0</v>
      </c>
      <c r="J5" s="81">
        <v>20000</v>
      </c>
      <c r="L5" s="83" t="s">
        <v>1228</v>
      </c>
      <c r="M5" s="83" t="s">
        <v>1229</v>
      </c>
      <c r="N5" s="24">
        <v>45447</v>
      </c>
      <c r="O5" s="25" t="s">
        <v>1230</v>
      </c>
      <c r="P5" s="25" t="s">
        <v>1231</v>
      </c>
      <c r="Q5" s="25" t="s">
        <v>113</v>
      </c>
      <c r="R5" s="60" t="s">
        <v>114</v>
      </c>
      <c r="S5" s="24">
        <v>45447</v>
      </c>
      <c r="T5" s="25" t="s">
        <v>83</v>
      </c>
      <c r="U5" s="25" t="s">
        <v>1232</v>
      </c>
      <c r="V5" s="25" t="s">
        <v>1233</v>
      </c>
      <c r="W5" s="52" t="s">
        <v>1234</v>
      </c>
      <c r="X5" s="52" t="s">
        <v>83</v>
      </c>
      <c r="Y5" s="53">
        <v>0</v>
      </c>
      <c r="Z5" s="53">
        <v>-20000</v>
      </c>
      <c r="AA5" s="5">
        <v>0</v>
      </c>
    </row>
    <row r="6" spans="2:27" x14ac:dyDescent="0.25">
      <c r="B6" s="2"/>
      <c r="C6" s="9"/>
      <c r="D6" s="3" t="s">
        <v>11</v>
      </c>
      <c r="E6" s="3" t="s">
        <v>12</v>
      </c>
      <c r="F6" s="4">
        <v>0</v>
      </c>
      <c r="G6" s="4">
        <v>0</v>
      </c>
      <c r="H6" s="4">
        <v>0</v>
      </c>
      <c r="I6" s="19">
        <v>0</v>
      </c>
      <c r="J6" s="21">
        <v>0</v>
      </c>
      <c r="L6" s="54" t="s">
        <v>1235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6">
        <v>0</v>
      </c>
      <c r="Z6" s="56">
        <v>-20000</v>
      </c>
      <c r="AA6" s="57">
        <v>0</v>
      </c>
    </row>
    <row r="7" spans="2:27" x14ac:dyDescent="0.25">
      <c r="B7" s="2"/>
      <c r="C7" s="6" t="s">
        <v>16</v>
      </c>
      <c r="D7" s="6"/>
      <c r="E7" s="6"/>
      <c r="F7" s="7">
        <v>0</v>
      </c>
      <c r="G7" s="7">
        <v>-20000</v>
      </c>
      <c r="H7" s="7">
        <v>-20000</v>
      </c>
      <c r="I7" s="7">
        <v>0</v>
      </c>
      <c r="J7" s="7">
        <v>20000</v>
      </c>
      <c r="L7" s="23" t="s">
        <v>65</v>
      </c>
      <c r="M7" s="23" t="s">
        <v>66</v>
      </c>
      <c r="N7" s="24">
        <v>45380</v>
      </c>
      <c r="O7" s="25" t="s">
        <v>154</v>
      </c>
      <c r="P7" s="25" t="s">
        <v>333</v>
      </c>
      <c r="Q7" s="25" t="s">
        <v>113</v>
      </c>
      <c r="R7" s="60" t="s">
        <v>114</v>
      </c>
      <c r="S7" s="24">
        <v>45380</v>
      </c>
      <c r="T7" s="25" t="s">
        <v>334</v>
      </c>
      <c r="U7" s="25" t="s">
        <v>83</v>
      </c>
      <c r="V7" s="25" t="s">
        <v>335</v>
      </c>
      <c r="W7" s="52" t="s">
        <v>336</v>
      </c>
      <c r="X7" s="52" t="s">
        <v>335</v>
      </c>
      <c r="Y7" s="53">
        <v>0</v>
      </c>
      <c r="Z7" s="53">
        <v>0</v>
      </c>
      <c r="AA7" s="5">
        <v>20000</v>
      </c>
    </row>
    <row r="8" spans="2:27" x14ac:dyDescent="0.25">
      <c r="B8" s="2"/>
      <c r="C8" s="3" t="s">
        <v>24</v>
      </c>
      <c r="D8" s="3" t="s">
        <v>55</v>
      </c>
      <c r="E8" s="3" t="s">
        <v>56</v>
      </c>
      <c r="F8" s="4">
        <v>0</v>
      </c>
      <c r="G8" s="4">
        <v>0</v>
      </c>
      <c r="H8" s="4">
        <v>0</v>
      </c>
      <c r="I8" s="19">
        <v>0</v>
      </c>
      <c r="J8" s="21">
        <v>0</v>
      </c>
      <c r="L8" s="29"/>
      <c r="M8" s="29"/>
      <c r="N8" s="24">
        <v>45449</v>
      </c>
      <c r="O8" s="25" t="s">
        <v>253</v>
      </c>
      <c r="P8" s="25" t="s">
        <v>337</v>
      </c>
      <c r="Q8" s="25" t="s">
        <v>113</v>
      </c>
      <c r="R8" s="60" t="s">
        <v>114</v>
      </c>
      <c r="S8" s="24">
        <v>45449</v>
      </c>
      <c r="T8" s="25" t="s">
        <v>334</v>
      </c>
      <c r="U8" s="25" t="s">
        <v>83</v>
      </c>
      <c r="V8" s="25" t="s">
        <v>335</v>
      </c>
      <c r="W8" s="52" t="s">
        <v>338</v>
      </c>
      <c r="X8" s="52" t="s">
        <v>335</v>
      </c>
      <c r="Y8" s="53">
        <v>0</v>
      </c>
      <c r="Z8" s="53">
        <v>20000.18</v>
      </c>
      <c r="AA8" s="5">
        <v>-20000</v>
      </c>
    </row>
    <row r="9" spans="2:27" x14ac:dyDescent="0.25">
      <c r="B9" s="2"/>
      <c r="C9" s="3" t="s">
        <v>64</v>
      </c>
      <c r="D9" s="3" t="s">
        <v>65</v>
      </c>
      <c r="E9" s="3" t="s">
        <v>66</v>
      </c>
      <c r="F9" s="4">
        <v>0</v>
      </c>
      <c r="G9" s="4">
        <v>20000.18</v>
      </c>
      <c r="H9" s="4">
        <v>20000.18</v>
      </c>
      <c r="I9" s="19">
        <v>0</v>
      </c>
      <c r="J9" s="21">
        <v>-20000.18</v>
      </c>
      <c r="L9" s="54" t="s">
        <v>341</v>
      </c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6">
        <v>0</v>
      </c>
      <c r="Z9" s="56">
        <v>20000.18</v>
      </c>
      <c r="AA9" s="57">
        <v>0</v>
      </c>
    </row>
    <row r="10" spans="2:27" x14ac:dyDescent="0.25">
      <c r="B10" s="11"/>
      <c r="C10" s="6" t="s">
        <v>67</v>
      </c>
      <c r="D10" s="6"/>
      <c r="E10" s="6"/>
      <c r="F10" s="7">
        <v>0</v>
      </c>
      <c r="G10" s="7">
        <v>20000.18</v>
      </c>
      <c r="H10" s="7">
        <v>20000.18</v>
      </c>
      <c r="I10" s="7">
        <v>0</v>
      </c>
      <c r="J10" s="7">
        <v>-20000.18</v>
      </c>
    </row>
    <row r="11" spans="2:27" x14ac:dyDescent="0.25">
      <c r="B11" s="12" t="s">
        <v>68</v>
      </c>
      <c r="C11" s="12"/>
      <c r="D11" s="12"/>
      <c r="E11" s="12"/>
      <c r="F11" s="13">
        <v>0</v>
      </c>
      <c r="G11" s="13">
        <v>0.18000000000029101</v>
      </c>
      <c r="H11" s="13">
        <v>0.18000000000029101</v>
      </c>
      <c r="I11" s="13">
        <v>0</v>
      </c>
      <c r="J11" s="13">
        <v>-0.18000000000029101</v>
      </c>
    </row>
  </sheetData>
  <mergeCells count="2">
    <mergeCell ref="B2:J2"/>
    <mergeCell ref="L2:AA2"/>
  </mergeCells>
  <hyperlinks>
    <hyperlink ref="R8" r:id="rId1" xr:uid="{4EFC28EA-8055-4DE0-BB3C-AC502FF092FB}"/>
    <hyperlink ref="R7" r:id="rId2" xr:uid="{52B6FF37-5C66-43FC-9F1F-45A5EB00B9B9}"/>
    <hyperlink ref="R5" r:id="rId3" xr:uid="{B8DC8D8D-273D-4DA8-82F1-D4E04325208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ABB2-9261-4A49-BF4B-333F77F68CC0}">
  <sheetPr>
    <tabColor theme="6" tint="0.79998168889431442"/>
  </sheetPr>
  <dimension ref="B2:AA40"/>
  <sheetViews>
    <sheetView showGridLines="0" zoomScaleNormal="100" workbookViewId="0">
      <selection activeCell="V13" sqref="V13"/>
    </sheetView>
  </sheetViews>
  <sheetFormatPr defaultRowHeight="15" x14ac:dyDescent="0.25"/>
  <cols>
    <col min="1" max="1" width="3.28515625" customWidth="1"/>
    <col min="2" max="2" width="16" bestFit="1" customWidth="1"/>
    <col min="3" max="3" width="26.28515625" bestFit="1" customWidth="1"/>
    <col min="4" max="4" width="11.85546875" bestFit="1" customWidth="1"/>
    <col min="5" max="5" width="36.7109375" bestFit="1" customWidth="1"/>
    <col min="6" max="6" width="15" bestFit="1" customWidth="1"/>
    <col min="7" max="7" width="17.85546875" bestFit="1" customWidth="1"/>
    <col min="8" max="8" width="16.85546875" bestFit="1" customWidth="1"/>
    <col min="9" max="9" width="19.7109375" bestFit="1" customWidth="1"/>
    <col min="10" max="10" width="16.7109375" bestFit="1" customWidth="1"/>
    <col min="11" max="11" width="3.28515625" customWidth="1"/>
    <col min="12" max="12" width="11.85546875" bestFit="1" customWidth="1"/>
    <col min="13" max="13" width="36.7109375" bestFit="1" customWidth="1"/>
    <col min="14" max="14" width="15.85546875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7.28515625" bestFit="1" customWidth="1"/>
    <col min="19" max="19" width="10.7109375" bestFit="1" customWidth="1"/>
    <col min="20" max="20" width="3.7109375" customWidth="1"/>
    <col min="21" max="21" width="13.7109375" customWidth="1"/>
    <col min="22" max="22" width="41.28515625" bestFit="1" customWidth="1"/>
    <col min="23" max="24" width="3.7109375" customWidth="1"/>
    <col min="25" max="25" width="22.42578125" bestFit="1" customWidth="1"/>
    <col min="26" max="26" width="21.42578125" bestFit="1" customWidth="1"/>
    <col min="27" max="27" width="20.7109375" bestFit="1" customWidth="1"/>
  </cols>
  <sheetData>
    <row r="2" spans="2:27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4" spans="2:27" x14ac:dyDescent="0.25"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L4" s="46" t="s">
        <v>2</v>
      </c>
      <c r="M4" s="46" t="s">
        <v>3</v>
      </c>
      <c r="N4" s="46" t="s">
        <v>69</v>
      </c>
      <c r="O4" s="14" t="s">
        <v>70</v>
      </c>
      <c r="P4" s="14" t="s">
        <v>71</v>
      </c>
      <c r="Q4" s="14" t="s">
        <v>72</v>
      </c>
      <c r="R4" s="14" t="s">
        <v>73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79</v>
      </c>
      <c r="Y4" s="15" t="s">
        <v>80</v>
      </c>
      <c r="Z4" s="15" t="s">
        <v>81</v>
      </c>
      <c r="AA4" s="16" t="s">
        <v>82</v>
      </c>
    </row>
    <row r="5" spans="2:27" x14ac:dyDescent="0.25">
      <c r="B5" s="2" t="s">
        <v>1236</v>
      </c>
      <c r="C5" s="8" t="s">
        <v>24</v>
      </c>
      <c r="D5" s="3" t="s">
        <v>1237</v>
      </c>
      <c r="E5" s="3" t="s">
        <v>1238</v>
      </c>
      <c r="F5" s="4">
        <v>0</v>
      </c>
      <c r="G5" s="4">
        <v>1938.36</v>
      </c>
      <c r="H5" s="4">
        <v>1938.36</v>
      </c>
      <c r="I5" s="19">
        <v>0</v>
      </c>
      <c r="J5" s="81">
        <v>-1938.36</v>
      </c>
      <c r="L5" s="23" t="s">
        <v>1237</v>
      </c>
      <c r="M5" s="23" t="s">
        <v>1238</v>
      </c>
      <c r="N5" s="84">
        <v>45524</v>
      </c>
      <c r="O5" s="25" t="s">
        <v>1241</v>
      </c>
      <c r="P5" s="25" t="s">
        <v>1242</v>
      </c>
      <c r="Q5" s="25" t="s">
        <v>1243</v>
      </c>
      <c r="R5" s="25" t="s">
        <v>87</v>
      </c>
      <c r="S5" s="24">
        <v>45524</v>
      </c>
      <c r="T5" s="25" t="s">
        <v>83</v>
      </c>
      <c r="U5" s="25" t="s">
        <v>1244</v>
      </c>
      <c r="V5" s="25" t="s">
        <v>1245</v>
      </c>
      <c r="W5" s="52" t="s">
        <v>83</v>
      </c>
      <c r="X5" s="52" t="s">
        <v>83</v>
      </c>
      <c r="Y5" s="53">
        <v>0</v>
      </c>
      <c r="Z5" s="53">
        <v>20.58</v>
      </c>
      <c r="AA5" s="5">
        <v>0</v>
      </c>
    </row>
    <row r="6" spans="2:27" x14ac:dyDescent="0.25">
      <c r="B6" s="2"/>
      <c r="C6" s="8"/>
      <c r="D6" s="3" t="s">
        <v>1239</v>
      </c>
      <c r="E6" s="3" t="s">
        <v>1240</v>
      </c>
      <c r="F6" s="4">
        <v>0</v>
      </c>
      <c r="G6" s="4">
        <v>423.18</v>
      </c>
      <c r="H6" s="4">
        <v>423.18</v>
      </c>
      <c r="I6" s="19">
        <v>0</v>
      </c>
      <c r="J6" s="21">
        <v>-423.18</v>
      </c>
      <c r="L6" s="28"/>
      <c r="M6" s="28"/>
      <c r="N6" s="24">
        <v>45532</v>
      </c>
      <c r="O6" s="25" t="s">
        <v>1241</v>
      </c>
      <c r="P6" s="25" t="s">
        <v>1246</v>
      </c>
      <c r="Q6" s="25" t="s">
        <v>1247</v>
      </c>
      <c r="R6" s="25" t="s">
        <v>87</v>
      </c>
      <c r="S6" s="24">
        <v>45532</v>
      </c>
      <c r="T6" s="25" t="s">
        <v>83</v>
      </c>
      <c r="U6" s="25" t="s">
        <v>1248</v>
      </c>
      <c r="V6" s="25" t="s">
        <v>1245</v>
      </c>
      <c r="W6" s="52" t="s">
        <v>83</v>
      </c>
      <c r="X6" s="52" t="s">
        <v>83</v>
      </c>
      <c r="Y6" s="53">
        <v>0</v>
      </c>
      <c r="Z6" s="53">
        <v>45.5</v>
      </c>
      <c r="AA6" s="5">
        <v>0</v>
      </c>
    </row>
    <row r="7" spans="2:27" x14ac:dyDescent="0.25">
      <c r="B7" s="2"/>
      <c r="C7" s="8"/>
      <c r="D7" s="3" t="s">
        <v>37</v>
      </c>
      <c r="E7" s="3" t="s">
        <v>38</v>
      </c>
      <c r="F7" s="4">
        <v>0</v>
      </c>
      <c r="G7" s="4">
        <v>923.33</v>
      </c>
      <c r="H7" s="4">
        <v>923.33</v>
      </c>
      <c r="I7" s="19">
        <v>0</v>
      </c>
      <c r="J7" s="21">
        <v>-923.33</v>
      </c>
      <c r="L7" s="28"/>
      <c r="M7" s="28"/>
      <c r="N7" s="24">
        <v>45561</v>
      </c>
      <c r="O7" s="25" t="s">
        <v>1241</v>
      </c>
      <c r="P7" s="25" t="s">
        <v>1249</v>
      </c>
      <c r="Q7" s="25" t="s">
        <v>1247</v>
      </c>
      <c r="R7" s="25" t="s">
        <v>87</v>
      </c>
      <c r="S7" s="24">
        <v>45561</v>
      </c>
      <c r="T7" s="25" t="s">
        <v>83</v>
      </c>
      <c r="U7" s="25" t="s">
        <v>1250</v>
      </c>
      <c r="V7" s="25" t="s">
        <v>1251</v>
      </c>
      <c r="W7" s="52" t="s">
        <v>83</v>
      </c>
      <c r="X7" s="52" t="s">
        <v>83</v>
      </c>
      <c r="Y7" s="53">
        <v>0</v>
      </c>
      <c r="Z7" s="53">
        <v>521.08000000000004</v>
      </c>
      <c r="AA7" s="5">
        <v>0</v>
      </c>
    </row>
    <row r="8" spans="2:27" x14ac:dyDescent="0.25">
      <c r="B8" s="2"/>
      <c r="C8" s="9"/>
      <c r="D8" s="3" t="s">
        <v>55</v>
      </c>
      <c r="E8" s="3" t="s">
        <v>56</v>
      </c>
      <c r="F8" s="4">
        <v>0</v>
      </c>
      <c r="G8" s="4">
        <v>0</v>
      </c>
      <c r="H8" s="4">
        <v>0</v>
      </c>
      <c r="I8" s="19">
        <v>0</v>
      </c>
      <c r="J8" s="21">
        <v>0</v>
      </c>
      <c r="L8" s="28"/>
      <c r="M8" s="28"/>
      <c r="N8" s="24">
        <v>45587</v>
      </c>
      <c r="O8" s="25" t="s">
        <v>1241</v>
      </c>
      <c r="P8" s="25" t="s">
        <v>1252</v>
      </c>
      <c r="Q8" s="25" t="s">
        <v>1243</v>
      </c>
      <c r="R8" s="25" t="s">
        <v>87</v>
      </c>
      <c r="S8" s="24">
        <v>45587</v>
      </c>
      <c r="T8" s="25" t="s">
        <v>83</v>
      </c>
      <c r="U8" s="25" t="s">
        <v>1253</v>
      </c>
      <c r="V8" s="25" t="s">
        <v>1245</v>
      </c>
      <c r="W8" s="52" t="s">
        <v>83</v>
      </c>
      <c r="X8" s="52" t="s">
        <v>83</v>
      </c>
      <c r="Y8" s="53">
        <v>0</v>
      </c>
      <c r="Z8" s="53">
        <v>13.72</v>
      </c>
      <c r="AA8" s="5">
        <v>0</v>
      </c>
    </row>
    <row r="9" spans="2:27" x14ac:dyDescent="0.25">
      <c r="B9" s="11"/>
      <c r="C9" s="6" t="s">
        <v>67</v>
      </c>
      <c r="D9" s="6"/>
      <c r="E9" s="6"/>
      <c r="F9" s="7">
        <v>0</v>
      </c>
      <c r="G9" s="7">
        <v>3284.87</v>
      </c>
      <c r="H9" s="7">
        <v>3284.87</v>
      </c>
      <c r="I9" s="7">
        <v>0</v>
      </c>
      <c r="J9" s="7">
        <v>-3284.87</v>
      </c>
      <c r="L9" s="28"/>
      <c r="M9" s="28"/>
      <c r="N9" s="24">
        <v>45595</v>
      </c>
      <c r="O9" s="25" t="s">
        <v>1241</v>
      </c>
      <c r="P9" s="25" t="s">
        <v>1254</v>
      </c>
      <c r="Q9" s="25" t="s">
        <v>1247</v>
      </c>
      <c r="R9" s="25" t="s">
        <v>87</v>
      </c>
      <c r="S9" s="24">
        <v>45597</v>
      </c>
      <c r="T9" s="25" t="s">
        <v>83</v>
      </c>
      <c r="U9" s="25" t="s">
        <v>1255</v>
      </c>
      <c r="V9" s="25" t="s">
        <v>1251</v>
      </c>
      <c r="W9" s="52" t="s">
        <v>83</v>
      </c>
      <c r="X9" s="52" t="s">
        <v>83</v>
      </c>
      <c r="Y9" s="53">
        <v>0</v>
      </c>
      <c r="Z9" s="53">
        <v>26.03</v>
      </c>
      <c r="AA9" s="5">
        <v>0</v>
      </c>
    </row>
    <row r="10" spans="2:27" x14ac:dyDescent="0.25">
      <c r="B10" s="12" t="s">
        <v>68</v>
      </c>
      <c r="C10" s="12"/>
      <c r="D10" s="12"/>
      <c r="E10" s="12"/>
      <c r="F10" s="13">
        <v>0</v>
      </c>
      <c r="G10" s="13">
        <v>3284.87</v>
      </c>
      <c r="H10" s="13">
        <v>3284.87</v>
      </c>
      <c r="I10" s="13">
        <v>0</v>
      </c>
      <c r="J10" s="13">
        <v>-3284.87</v>
      </c>
      <c r="L10" s="28"/>
      <c r="M10" s="28"/>
      <c r="N10" s="58">
        <v>45622</v>
      </c>
      <c r="O10" s="23" t="s">
        <v>1241</v>
      </c>
      <c r="P10" s="23" t="s">
        <v>1256</v>
      </c>
      <c r="Q10" s="23" t="s">
        <v>1247</v>
      </c>
      <c r="R10" s="23" t="s">
        <v>87</v>
      </c>
      <c r="S10" s="58">
        <v>45622</v>
      </c>
      <c r="T10" s="23" t="s">
        <v>83</v>
      </c>
      <c r="U10" s="25" t="s">
        <v>1257</v>
      </c>
      <c r="V10" s="25" t="s">
        <v>1245</v>
      </c>
      <c r="W10" s="52" t="s">
        <v>83</v>
      </c>
      <c r="X10" s="52" t="s">
        <v>83</v>
      </c>
      <c r="Y10" s="53">
        <v>0</v>
      </c>
      <c r="Z10" s="53">
        <v>187</v>
      </c>
      <c r="AA10" s="5">
        <v>0</v>
      </c>
    </row>
    <row r="11" spans="2:27" x14ac:dyDescent="0.25">
      <c r="L11" s="28"/>
      <c r="M11" s="28"/>
      <c r="N11" s="59"/>
      <c r="O11" s="29"/>
      <c r="P11" s="29"/>
      <c r="Q11" s="29"/>
      <c r="R11" s="29"/>
      <c r="S11" s="59"/>
      <c r="T11" s="29"/>
      <c r="U11" s="25" t="s">
        <v>1258</v>
      </c>
      <c r="V11" s="25" t="s">
        <v>1245</v>
      </c>
      <c r="W11" s="52" t="s">
        <v>83</v>
      </c>
      <c r="X11" s="52" t="s">
        <v>83</v>
      </c>
      <c r="Y11" s="53">
        <v>0</v>
      </c>
      <c r="Z11" s="53">
        <v>56.43</v>
      </c>
      <c r="AA11" s="5">
        <v>0</v>
      </c>
    </row>
    <row r="12" spans="2:27" x14ac:dyDescent="0.25">
      <c r="L12" s="28"/>
      <c r="M12" s="28"/>
      <c r="N12" s="24">
        <v>45708</v>
      </c>
      <c r="O12" s="25" t="s">
        <v>1241</v>
      </c>
      <c r="P12" s="25" t="s">
        <v>1259</v>
      </c>
      <c r="Q12" s="25" t="s">
        <v>1243</v>
      </c>
      <c r="R12" s="25" t="s">
        <v>87</v>
      </c>
      <c r="S12" s="24">
        <v>45708</v>
      </c>
      <c r="T12" s="25" t="s">
        <v>83</v>
      </c>
      <c r="U12" s="25" t="s">
        <v>1260</v>
      </c>
      <c r="V12" s="25" t="s">
        <v>1245</v>
      </c>
      <c r="W12" s="52" t="s">
        <v>83</v>
      </c>
      <c r="X12" s="52" t="s">
        <v>83</v>
      </c>
      <c r="Y12" s="53">
        <v>0</v>
      </c>
      <c r="Z12" s="53">
        <v>6.86</v>
      </c>
      <c r="AA12" s="5">
        <v>0</v>
      </c>
    </row>
    <row r="13" spans="2:27" x14ac:dyDescent="0.25">
      <c r="L13" s="28"/>
      <c r="M13" s="28"/>
      <c r="N13" s="24">
        <v>45772</v>
      </c>
      <c r="O13" s="25" t="s">
        <v>1241</v>
      </c>
      <c r="P13" s="25" t="s">
        <v>1261</v>
      </c>
      <c r="Q13" s="25" t="s">
        <v>1243</v>
      </c>
      <c r="R13" s="25" t="s">
        <v>87</v>
      </c>
      <c r="S13" s="24">
        <v>45772</v>
      </c>
      <c r="T13" s="25" t="s">
        <v>83</v>
      </c>
      <c r="U13" s="25" t="s">
        <v>1262</v>
      </c>
      <c r="V13" s="25" t="s">
        <v>1245</v>
      </c>
      <c r="W13" s="52" t="s">
        <v>83</v>
      </c>
      <c r="X13" s="52" t="s">
        <v>83</v>
      </c>
      <c r="Y13" s="53">
        <v>0</v>
      </c>
      <c r="Z13" s="53">
        <v>6.86</v>
      </c>
      <c r="AA13" s="5">
        <v>0</v>
      </c>
    </row>
    <row r="14" spans="2:27" x14ac:dyDescent="0.25">
      <c r="L14" s="28"/>
      <c r="M14" s="28"/>
      <c r="N14" s="24">
        <v>45775</v>
      </c>
      <c r="O14" s="25" t="s">
        <v>1241</v>
      </c>
      <c r="P14" s="25" t="s">
        <v>1263</v>
      </c>
      <c r="Q14" s="25" t="s">
        <v>1247</v>
      </c>
      <c r="R14" s="25" t="s">
        <v>87</v>
      </c>
      <c r="S14" s="24">
        <v>45775</v>
      </c>
      <c r="T14" s="25" t="s">
        <v>83</v>
      </c>
      <c r="U14" s="25" t="s">
        <v>1264</v>
      </c>
      <c r="V14" s="25" t="s">
        <v>1251</v>
      </c>
      <c r="W14" s="52" t="s">
        <v>83</v>
      </c>
      <c r="X14" s="52" t="s">
        <v>83</v>
      </c>
      <c r="Y14" s="53">
        <v>0</v>
      </c>
      <c r="Z14" s="53">
        <v>43.3</v>
      </c>
      <c r="AA14" s="5">
        <v>0</v>
      </c>
    </row>
    <row r="15" spans="2:27" x14ac:dyDescent="0.25">
      <c r="L15" s="28"/>
      <c r="M15" s="28"/>
      <c r="N15" s="24">
        <v>45806</v>
      </c>
      <c r="O15" s="25" t="s">
        <v>1241</v>
      </c>
      <c r="P15" s="25" t="s">
        <v>1265</v>
      </c>
      <c r="Q15" s="25" t="s">
        <v>1247</v>
      </c>
      <c r="R15" s="25" t="s">
        <v>87</v>
      </c>
      <c r="S15" s="24">
        <v>45806</v>
      </c>
      <c r="T15" s="25" t="s">
        <v>83</v>
      </c>
      <c r="U15" s="25" t="s">
        <v>1266</v>
      </c>
      <c r="V15" s="25" t="s">
        <v>1251</v>
      </c>
      <c r="W15" s="52" t="s">
        <v>83</v>
      </c>
      <c r="X15" s="52" t="s">
        <v>83</v>
      </c>
      <c r="Y15" s="53">
        <v>0</v>
      </c>
      <c r="Z15" s="53">
        <v>55.9</v>
      </c>
      <c r="AA15" s="5">
        <v>0</v>
      </c>
    </row>
    <row r="16" spans="2:27" x14ac:dyDescent="0.25">
      <c r="L16" s="28"/>
      <c r="M16" s="28"/>
      <c r="N16" s="24">
        <v>45826</v>
      </c>
      <c r="O16" s="25" t="s">
        <v>1241</v>
      </c>
      <c r="P16" s="25" t="s">
        <v>1267</v>
      </c>
      <c r="Q16" s="25" t="s">
        <v>1243</v>
      </c>
      <c r="R16" s="25" t="s">
        <v>87</v>
      </c>
      <c r="S16" s="24">
        <v>45826</v>
      </c>
      <c r="T16" s="25" t="s">
        <v>83</v>
      </c>
      <c r="U16" s="25" t="s">
        <v>1268</v>
      </c>
      <c r="V16" s="25" t="s">
        <v>1245</v>
      </c>
      <c r="W16" s="52" t="s">
        <v>83</v>
      </c>
      <c r="X16" s="52" t="s">
        <v>83</v>
      </c>
      <c r="Y16" s="53">
        <v>0</v>
      </c>
      <c r="Z16" s="53">
        <v>6.86</v>
      </c>
      <c r="AA16" s="5">
        <v>0</v>
      </c>
    </row>
    <row r="17" spans="12:27" x14ac:dyDescent="0.25">
      <c r="L17" s="28"/>
      <c r="M17" s="28"/>
      <c r="N17" s="58">
        <v>45838</v>
      </c>
      <c r="O17" s="23" t="s">
        <v>1241</v>
      </c>
      <c r="P17" s="23" t="s">
        <v>1269</v>
      </c>
      <c r="Q17" s="23" t="s">
        <v>1247</v>
      </c>
      <c r="R17" s="23" t="s">
        <v>87</v>
      </c>
      <c r="S17" s="58">
        <v>45838</v>
      </c>
      <c r="T17" s="23" t="s">
        <v>83</v>
      </c>
      <c r="U17" s="25" t="s">
        <v>1270</v>
      </c>
      <c r="V17" s="25" t="s">
        <v>1251</v>
      </c>
      <c r="W17" s="52" t="s">
        <v>83</v>
      </c>
      <c r="X17" s="52" t="s">
        <v>83</v>
      </c>
      <c r="Y17" s="53">
        <v>0</v>
      </c>
      <c r="Z17" s="53">
        <v>28.26</v>
      </c>
      <c r="AA17" s="5">
        <v>0</v>
      </c>
    </row>
    <row r="18" spans="12:27" x14ac:dyDescent="0.25">
      <c r="L18" s="28"/>
      <c r="M18" s="28"/>
      <c r="N18" s="59"/>
      <c r="O18" s="29"/>
      <c r="P18" s="29"/>
      <c r="Q18" s="29"/>
      <c r="R18" s="29"/>
      <c r="S18" s="59"/>
      <c r="T18" s="29"/>
      <c r="U18" s="25" t="s">
        <v>1271</v>
      </c>
      <c r="V18" s="25" t="s">
        <v>1251</v>
      </c>
      <c r="W18" s="52" t="s">
        <v>83</v>
      </c>
      <c r="X18" s="52" t="s">
        <v>83</v>
      </c>
      <c r="Y18" s="53">
        <v>0</v>
      </c>
      <c r="Z18" s="53">
        <v>913.12</v>
      </c>
      <c r="AA18" s="5">
        <v>0</v>
      </c>
    </row>
    <row r="19" spans="12:27" x14ac:dyDescent="0.25">
      <c r="L19" s="29"/>
      <c r="M19" s="29"/>
      <c r="N19" s="24">
        <v>45841</v>
      </c>
      <c r="O19" s="25" t="s">
        <v>1241</v>
      </c>
      <c r="P19" s="25" t="s">
        <v>1272</v>
      </c>
      <c r="Q19" s="25" t="s">
        <v>1243</v>
      </c>
      <c r="R19" s="25" t="s">
        <v>87</v>
      </c>
      <c r="S19" s="24">
        <v>45841</v>
      </c>
      <c r="T19" s="25" t="s">
        <v>83</v>
      </c>
      <c r="U19" s="25" t="s">
        <v>1273</v>
      </c>
      <c r="V19" s="25" t="s">
        <v>1245</v>
      </c>
      <c r="W19" s="52" t="s">
        <v>83</v>
      </c>
      <c r="X19" s="52" t="s">
        <v>83</v>
      </c>
      <c r="Y19" s="53">
        <v>0</v>
      </c>
      <c r="Z19" s="53">
        <v>6.86</v>
      </c>
      <c r="AA19" s="5">
        <v>0</v>
      </c>
    </row>
    <row r="20" spans="12:27" x14ac:dyDescent="0.25">
      <c r="L20" s="54" t="s">
        <v>1274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6">
        <v>0</v>
      </c>
      <c r="Z20" s="56">
        <v>1938.36</v>
      </c>
      <c r="AA20" s="57">
        <v>0</v>
      </c>
    </row>
    <row r="21" spans="12:27" x14ac:dyDescent="0.25">
      <c r="L21" s="23" t="s">
        <v>1239</v>
      </c>
      <c r="M21" s="23" t="s">
        <v>1240</v>
      </c>
      <c r="N21" s="24">
        <v>45524</v>
      </c>
      <c r="O21" s="25" t="s">
        <v>1241</v>
      </c>
      <c r="P21" s="25" t="s">
        <v>1242</v>
      </c>
      <c r="Q21" s="25" t="s">
        <v>1243</v>
      </c>
      <c r="R21" s="25" t="s">
        <v>87</v>
      </c>
      <c r="S21" s="24">
        <v>45524</v>
      </c>
      <c r="T21" s="25" t="s">
        <v>83</v>
      </c>
      <c r="U21" s="25" t="s">
        <v>1244</v>
      </c>
      <c r="V21" s="25" t="s">
        <v>1245</v>
      </c>
      <c r="W21" s="52" t="s">
        <v>83</v>
      </c>
      <c r="X21" s="52" t="s">
        <v>83</v>
      </c>
      <c r="Y21" s="53">
        <v>0</v>
      </c>
      <c r="Z21" s="53">
        <v>8.64</v>
      </c>
      <c r="AA21" s="5">
        <v>0</v>
      </c>
    </row>
    <row r="22" spans="12:27" x14ac:dyDescent="0.25">
      <c r="L22" s="28"/>
      <c r="M22" s="28"/>
      <c r="N22" s="24">
        <v>45560</v>
      </c>
      <c r="O22" s="25" t="s">
        <v>1241</v>
      </c>
      <c r="P22" s="25" t="s">
        <v>1275</v>
      </c>
      <c r="Q22" s="25" t="s">
        <v>1243</v>
      </c>
      <c r="R22" s="25" t="s">
        <v>87</v>
      </c>
      <c r="S22" s="24">
        <v>45560</v>
      </c>
      <c r="T22" s="25" t="s">
        <v>83</v>
      </c>
      <c r="U22" s="25" t="s">
        <v>1276</v>
      </c>
      <c r="V22" s="25" t="s">
        <v>1245</v>
      </c>
      <c r="W22" s="52" t="s">
        <v>83</v>
      </c>
      <c r="X22" s="52" t="s">
        <v>83</v>
      </c>
      <c r="Y22" s="53">
        <v>0</v>
      </c>
      <c r="Z22" s="53">
        <v>33.479999999999997</v>
      </c>
      <c r="AA22" s="5">
        <v>0</v>
      </c>
    </row>
    <row r="23" spans="12:27" x14ac:dyDescent="0.25">
      <c r="L23" s="28"/>
      <c r="M23" s="28"/>
      <c r="N23" s="24">
        <v>45587</v>
      </c>
      <c r="O23" s="25" t="s">
        <v>1241</v>
      </c>
      <c r="P23" s="25" t="s">
        <v>1252</v>
      </c>
      <c r="Q23" s="25" t="s">
        <v>1243</v>
      </c>
      <c r="R23" s="25" t="s">
        <v>87</v>
      </c>
      <c r="S23" s="24">
        <v>45587</v>
      </c>
      <c r="T23" s="25" t="s">
        <v>83</v>
      </c>
      <c r="U23" s="25" t="s">
        <v>1253</v>
      </c>
      <c r="V23" s="25" t="s">
        <v>1245</v>
      </c>
      <c r="W23" s="52" t="s">
        <v>83</v>
      </c>
      <c r="X23" s="52" t="s">
        <v>83</v>
      </c>
      <c r="Y23" s="53">
        <v>0</v>
      </c>
      <c r="Z23" s="53">
        <v>37.08</v>
      </c>
      <c r="AA23" s="5">
        <v>0</v>
      </c>
    </row>
    <row r="24" spans="12:27" x14ac:dyDescent="0.25">
      <c r="L24" s="28"/>
      <c r="M24" s="28"/>
      <c r="N24" s="24">
        <v>45614</v>
      </c>
      <c r="O24" s="25" t="s">
        <v>1241</v>
      </c>
      <c r="P24" s="25" t="s">
        <v>1277</v>
      </c>
      <c r="Q24" s="25" t="s">
        <v>1243</v>
      </c>
      <c r="R24" s="25" t="s">
        <v>87</v>
      </c>
      <c r="S24" s="24">
        <v>45614</v>
      </c>
      <c r="T24" s="25" t="s">
        <v>83</v>
      </c>
      <c r="U24" s="25" t="s">
        <v>1278</v>
      </c>
      <c r="V24" s="25" t="s">
        <v>1245</v>
      </c>
      <c r="W24" s="52" t="s">
        <v>83</v>
      </c>
      <c r="X24" s="52" t="s">
        <v>83</v>
      </c>
      <c r="Y24" s="53">
        <v>0</v>
      </c>
      <c r="Z24" s="53">
        <v>39.06</v>
      </c>
      <c r="AA24" s="5">
        <v>0</v>
      </c>
    </row>
    <row r="25" spans="12:27" x14ac:dyDescent="0.25">
      <c r="L25" s="28"/>
      <c r="M25" s="28"/>
      <c r="N25" s="24">
        <v>45659</v>
      </c>
      <c r="O25" s="25" t="s">
        <v>1241</v>
      </c>
      <c r="P25" s="25" t="s">
        <v>1279</v>
      </c>
      <c r="Q25" s="25" t="s">
        <v>1243</v>
      </c>
      <c r="R25" s="25" t="s">
        <v>87</v>
      </c>
      <c r="S25" s="24">
        <v>45659</v>
      </c>
      <c r="T25" s="25" t="s">
        <v>83</v>
      </c>
      <c r="U25" s="25" t="s">
        <v>1280</v>
      </c>
      <c r="V25" s="25" t="s">
        <v>1245</v>
      </c>
      <c r="W25" s="52" t="s">
        <v>83</v>
      </c>
      <c r="X25" s="52" t="s">
        <v>83</v>
      </c>
      <c r="Y25" s="53">
        <v>0</v>
      </c>
      <c r="Z25" s="53">
        <v>37.799999999999997</v>
      </c>
      <c r="AA25" s="5">
        <v>0</v>
      </c>
    </row>
    <row r="26" spans="12:27" x14ac:dyDescent="0.25">
      <c r="L26" s="28"/>
      <c r="M26" s="28"/>
      <c r="N26" s="24">
        <v>45680</v>
      </c>
      <c r="O26" s="25" t="s">
        <v>1241</v>
      </c>
      <c r="P26" s="25" t="s">
        <v>1281</v>
      </c>
      <c r="Q26" s="25" t="s">
        <v>1243</v>
      </c>
      <c r="R26" s="25" t="s">
        <v>87</v>
      </c>
      <c r="S26" s="24">
        <v>45680</v>
      </c>
      <c r="T26" s="25" t="s">
        <v>83</v>
      </c>
      <c r="U26" s="25" t="s">
        <v>1282</v>
      </c>
      <c r="V26" s="25" t="s">
        <v>1245</v>
      </c>
      <c r="W26" s="52" t="s">
        <v>83</v>
      </c>
      <c r="X26" s="52" t="s">
        <v>83</v>
      </c>
      <c r="Y26" s="53">
        <v>0</v>
      </c>
      <c r="Z26" s="53">
        <v>39.06</v>
      </c>
      <c r="AA26" s="5">
        <v>0</v>
      </c>
    </row>
    <row r="27" spans="12:27" x14ac:dyDescent="0.25">
      <c r="L27" s="28"/>
      <c r="M27" s="28"/>
      <c r="N27" s="24">
        <v>45708</v>
      </c>
      <c r="O27" s="25" t="s">
        <v>1241</v>
      </c>
      <c r="P27" s="25" t="s">
        <v>1259</v>
      </c>
      <c r="Q27" s="25" t="s">
        <v>1243</v>
      </c>
      <c r="R27" s="25" t="s">
        <v>87</v>
      </c>
      <c r="S27" s="24">
        <v>45708</v>
      </c>
      <c r="T27" s="25" t="s">
        <v>83</v>
      </c>
      <c r="U27" s="25" t="s">
        <v>1260</v>
      </c>
      <c r="V27" s="25" t="s">
        <v>1245</v>
      </c>
      <c r="W27" s="52" t="s">
        <v>83</v>
      </c>
      <c r="X27" s="52" t="s">
        <v>83</v>
      </c>
      <c r="Y27" s="53">
        <v>0</v>
      </c>
      <c r="Z27" s="53">
        <v>39.06</v>
      </c>
      <c r="AA27" s="5">
        <v>0</v>
      </c>
    </row>
    <row r="28" spans="12:27" x14ac:dyDescent="0.25">
      <c r="L28" s="28"/>
      <c r="M28" s="28"/>
      <c r="N28" s="24">
        <v>45743</v>
      </c>
      <c r="O28" s="25" t="s">
        <v>1241</v>
      </c>
      <c r="P28" s="25" t="s">
        <v>1283</v>
      </c>
      <c r="Q28" s="25" t="s">
        <v>1243</v>
      </c>
      <c r="R28" s="25" t="s">
        <v>87</v>
      </c>
      <c r="S28" s="24">
        <v>45743</v>
      </c>
      <c r="T28" s="25" t="s">
        <v>83</v>
      </c>
      <c r="U28" s="25" t="s">
        <v>1284</v>
      </c>
      <c r="V28" s="25" t="s">
        <v>1245</v>
      </c>
      <c r="W28" s="52" t="s">
        <v>83</v>
      </c>
      <c r="X28" s="52" t="s">
        <v>83</v>
      </c>
      <c r="Y28" s="53">
        <v>0</v>
      </c>
      <c r="Z28" s="53">
        <v>35.28</v>
      </c>
      <c r="AA28" s="5">
        <v>0</v>
      </c>
    </row>
    <row r="29" spans="12:27" x14ac:dyDescent="0.25">
      <c r="L29" s="28"/>
      <c r="M29" s="28"/>
      <c r="N29" s="24">
        <v>45772</v>
      </c>
      <c r="O29" s="25" t="s">
        <v>1241</v>
      </c>
      <c r="P29" s="25" t="s">
        <v>1261</v>
      </c>
      <c r="Q29" s="25" t="s">
        <v>1243</v>
      </c>
      <c r="R29" s="25" t="s">
        <v>87</v>
      </c>
      <c r="S29" s="24">
        <v>45772</v>
      </c>
      <c r="T29" s="25" t="s">
        <v>83</v>
      </c>
      <c r="U29" s="25" t="s">
        <v>1262</v>
      </c>
      <c r="V29" s="25" t="s">
        <v>1245</v>
      </c>
      <c r="W29" s="52" t="s">
        <v>83</v>
      </c>
      <c r="X29" s="52" t="s">
        <v>83</v>
      </c>
      <c r="Y29" s="53">
        <v>0</v>
      </c>
      <c r="Z29" s="53">
        <v>39.06</v>
      </c>
      <c r="AA29" s="5">
        <v>0</v>
      </c>
    </row>
    <row r="30" spans="12:27" x14ac:dyDescent="0.25">
      <c r="L30" s="28"/>
      <c r="M30" s="28"/>
      <c r="N30" s="24">
        <v>45796</v>
      </c>
      <c r="O30" s="25" t="s">
        <v>1241</v>
      </c>
      <c r="P30" s="25" t="s">
        <v>1285</v>
      </c>
      <c r="Q30" s="25" t="s">
        <v>1243</v>
      </c>
      <c r="R30" s="25" t="s">
        <v>87</v>
      </c>
      <c r="S30" s="24">
        <v>45796</v>
      </c>
      <c r="T30" s="25" t="s">
        <v>83</v>
      </c>
      <c r="U30" s="25" t="s">
        <v>1286</v>
      </c>
      <c r="V30" s="25" t="s">
        <v>1245</v>
      </c>
      <c r="W30" s="52" t="s">
        <v>83</v>
      </c>
      <c r="X30" s="52" t="s">
        <v>83</v>
      </c>
      <c r="Y30" s="53">
        <v>0</v>
      </c>
      <c r="Z30" s="53">
        <v>37.799999999999997</v>
      </c>
      <c r="AA30" s="5">
        <v>0</v>
      </c>
    </row>
    <row r="31" spans="12:27" x14ac:dyDescent="0.25">
      <c r="L31" s="28"/>
      <c r="M31" s="28"/>
      <c r="N31" s="24">
        <v>45826</v>
      </c>
      <c r="O31" s="25" t="s">
        <v>1241</v>
      </c>
      <c r="P31" s="25" t="s">
        <v>1267</v>
      </c>
      <c r="Q31" s="25" t="s">
        <v>1243</v>
      </c>
      <c r="R31" s="25" t="s">
        <v>87</v>
      </c>
      <c r="S31" s="24">
        <v>45826</v>
      </c>
      <c r="T31" s="25" t="s">
        <v>83</v>
      </c>
      <c r="U31" s="25" t="s">
        <v>1268</v>
      </c>
      <c r="V31" s="25" t="s">
        <v>1245</v>
      </c>
      <c r="W31" s="52" t="s">
        <v>83</v>
      </c>
      <c r="X31" s="52" t="s">
        <v>83</v>
      </c>
      <c r="Y31" s="53">
        <v>0</v>
      </c>
      <c r="Z31" s="53">
        <v>39.06</v>
      </c>
      <c r="AA31" s="5">
        <v>0</v>
      </c>
    </row>
    <row r="32" spans="12:27" x14ac:dyDescent="0.25">
      <c r="L32" s="29"/>
      <c r="M32" s="29"/>
      <c r="N32" s="24">
        <v>45841</v>
      </c>
      <c r="O32" s="25" t="s">
        <v>1241</v>
      </c>
      <c r="P32" s="25" t="s">
        <v>1272</v>
      </c>
      <c r="Q32" s="25" t="s">
        <v>1243</v>
      </c>
      <c r="R32" s="25" t="s">
        <v>87</v>
      </c>
      <c r="S32" s="24">
        <v>45841</v>
      </c>
      <c r="T32" s="25" t="s">
        <v>83</v>
      </c>
      <c r="U32" s="25" t="s">
        <v>1273</v>
      </c>
      <c r="V32" s="25" t="s">
        <v>1245</v>
      </c>
      <c r="W32" s="52" t="s">
        <v>83</v>
      </c>
      <c r="X32" s="52" t="s">
        <v>83</v>
      </c>
      <c r="Y32" s="53">
        <v>0</v>
      </c>
      <c r="Z32" s="53">
        <v>37.799999999999997</v>
      </c>
      <c r="AA32" s="5">
        <v>0</v>
      </c>
    </row>
    <row r="33" spans="12:27" x14ac:dyDescent="0.25">
      <c r="L33" s="54" t="s">
        <v>1287</v>
      </c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6">
        <v>0</v>
      </c>
      <c r="Z33" s="56">
        <v>423.18</v>
      </c>
      <c r="AA33" s="57">
        <v>0</v>
      </c>
    </row>
    <row r="34" spans="12:27" x14ac:dyDescent="0.25">
      <c r="L34" s="23" t="s">
        <v>37</v>
      </c>
      <c r="M34" s="23" t="s">
        <v>38</v>
      </c>
      <c r="N34" s="24">
        <v>45524</v>
      </c>
      <c r="O34" s="25" t="s">
        <v>1241</v>
      </c>
      <c r="P34" s="25" t="s">
        <v>1242</v>
      </c>
      <c r="Q34" s="25" t="s">
        <v>1243</v>
      </c>
      <c r="R34" s="25" t="s">
        <v>87</v>
      </c>
      <c r="S34" s="24">
        <v>45524</v>
      </c>
      <c r="T34" s="25" t="s">
        <v>83</v>
      </c>
      <c r="U34" s="25" t="s">
        <v>1244</v>
      </c>
      <c r="V34" s="25" t="s">
        <v>1245</v>
      </c>
      <c r="W34" s="52" t="s">
        <v>83</v>
      </c>
      <c r="X34" s="52" t="s">
        <v>83</v>
      </c>
      <c r="Y34" s="53">
        <v>0</v>
      </c>
      <c r="Z34" s="53">
        <v>116.14</v>
      </c>
      <c r="AA34" s="5">
        <v>0</v>
      </c>
    </row>
    <row r="35" spans="12:27" x14ac:dyDescent="0.25">
      <c r="L35" s="28"/>
      <c r="M35" s="28"/>
      <c r="N35" s="24">
        <v>45587</v>
      </c>
      <c r="O35" s="25" t="s">
        <v>1241</v>
      </c>
      <c r="P35" s="25" t="s">
        <v>1252</v>
      </c>
      <c r="Q35" s="25" t="s">
        <v>1243</v>
      </c>
      <c r="R35" s="25" t="s">
        <v>87</v>
      </c>
      <c r="S35" s="24">
        <v>45587</v>
      </c>
      <c r="T35" s="25" t="s">
        <v>83</v>
      </c>
      <c r="U35" s="25" t="s">
        <v>1253</v>
      </c>
      <c r="V35" s="25" t="s">
        <v>1245</v>
      </c>
      <c r="W35" s="52" t="s">
        <v>83</v>
      </c>
      <c r="X35" s="52" t="s">
        <v>83</v>
      </c>
      <c r="Y35" s="53">
        <v>0</v>
      </c>
      <c r="Z35" s="53">
        <v>506.48</v>
      </c>
      <c r="AA35" s="5">
        <v>0</v>
      </c>
    </row>
    <row r="36" spans="12:27" x14ac:dyDescent="0.25">
      <c r="L36" s="28"/>
      <c r="M36" s="28"/>
      <c r="N36" s="24">
        <v>45708</v>
      </c>
      <c r="O36" s="25" t="s">
        <v>1241</v>
      </c>
      <c r="P36" s="25" t="s">
        <v>1259</v>
      </c>
      <c r="Q36" s="25" t="s">
        <v>1243</v>
      </c>
      <c r="R36" s="25" t="s">
        <v>87</v>
      </c>
      <c r="S36" s="24">
        <v>45708</v>
      </c>
      <c r="T36" s="25" t="s">
        <v>83</v>
      </c>
      <c r="U36" s="25" t="s">
        <v>1260</v>
      </c>
      <c r="V36" s="25" t="s">
        <v>1245</v>
      </c>
      <c r="W36" s="52" t="s">
        <v>83</v>
      </c>
      <c r="X36" s="52" t="s">
        <v>83</v>
      </c>
      <c r="Y36" s="53">
        <v>0</v>
      </c>
      <c r="Z36" s="53">
        <v>11.56</v>
      </c>
      <c r="AA36" s="5">
        <v>0</v>
      </c>
    </row>
    <row r="37" spans="12:27" x14ac:dyDescent="0.25">
      <c r="L37" s="28"/>
      <c r="M37" s="28"/>
      <c r="N37" s="24">
        <v>45772</v>
      </c>
      <c r="O37" s="25" t="s">
        <v>1241</v>
      </c>
      <c r="P37" s="25" t="s">
        <v>1261</v>
      </c>
      <c r="Q37" s="25" t="s">
        <v>1243</v>
      </c>
      <c r="R37" s="25" t="s">
        <v>87</v>
      </c>
      <c r="S37" s="24">
        <v>45772</v>
      </c>
      <c r="T37" s="25" t="s">
        <v>83</v>
      </c>
      <c r="U37" s="25" t="s">
        <v>1262</v>
      </c>
      <c r="V37" s="25" t="s">
        <v>1245</v>
      </c>
      <c r="W37" s="52" t="s">
        <v>83</v>
      </c>
      <c r="X37" s="52" t="s">
        <v>83</v>
      </c>
      <c r="Y37" s="53">
        <v>0</v>
      </c>
      <c r="Z37" s="53">
        <v>11.56</v>
      </c>
      <c r="AA37" s="5">
        <v>0</v>
      </c>
    </row>
    <row r="38" spans="12:27" x14ac:dyDescent="0.25">
      <c r="L38" s="28"/>
      <c r="M38" s="28"/>
      <c r="N38" s="24">
        <v>45826</v>
      </c>
      <c r="O38" s="25" t="s">
        <v>1241</v>
      </c>
      <c r="P38" s="25" t="s">
        <v>1267</v>
      </c>
      <c r="Q38" s="25" t="s">
        <v>1243</v>
      </c>
      <c r="R38" s="25" t="s">
        <v>87</v>
      </c>
      <c r="S38" s="24">
        <v>45826</v>
      </c>
      <c r="T38" s="25" t="s">
        <v>83</v>
      </c>
      <c r="U38" s="25" t="s">
        <v>1268</v>
      </c>
      <c r="V38" s="25" t="s">
        <v>1245</v>
      </c>
      <c r="W38" s="52" t="s">
        <v>83</v>
      </c>
      <c r="X38" s="52" t="s">
        <v>83</v>
      </c>
      <c r="Y38" s="53">
        <v>0</v>
      </c>
      <c r="Z38" s="53">
        <v>24.35</v>
      </c>
      <c r="AA38" s="5">
        <v>0</v>
      </c>
    </row>
    <row r="39" spans="12:27" x14ac:dyDescent="0.25">
      <c r="L39" s="29"/>
      <c r="M39" s="29"/>
      <c r="N39" s="24">
        <v>45841</v>
      </c>
      <c r="O39" s="25" t="s">
        <v>1241</v>
      </c>
      <c r="P39" s="25" t="s">
        <v>1272</v>
      </c>
      <c r="Q39" s="25" t="s">
        <v>1243</v>
      </c>
      <c r="R39" s="25" t="s">
        <v>87</v>
      </c>
      <c r="S39" s="24">
        <v>45841</v>
      </c>
      <c r="T39" s="25" t="s">
        <v>83</v>
      </c>
      <c r="U39" s="25" t="s">
        <v>1273</v>
      </c>
      <c r="V39" s="25" t="s">
        <v>1245</v>
      </c>
      <c r="W39" s="52" t="s">
        <v>83</v>
      </c>
      <c r="X39" s="52" t="s">
        <v>83</v>
      </c>
      <c r="Y39" s="53">
        <v>0</v>
      </c>
      <c r="Z39" s="53">
        <v>253.24</v>
      </c>
      <c r="AA39" s="5">
        <v>0</v>
      </c>
    </row>
    <row r="40" spans="12:27" x14ac:dyDescent="0.25">
      <c r="L40" s="54" t="s">
        <v>193</v>
      </c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6">
        <v>0</v>
      </c>
      <c r="Z40" s="56">
        <v>923.33</v>
      </c>
      <c r="AA40" s="57">
        <v>0</v>
      </c>
    </row>
  </sheetData>
  <mergeCells count="2">
    <mergeCell ref="B2:J2"/>
    <mergeCell ref="L2:A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A482-8B02-4027-B04A-03F42412D6B3}">
  <sheetPr>
    <tabColor theme="6" tint="0.79998168889431442"/>
  </sheetPr>
  <dimension ref="B2:AA12"/>
  <sheetViews>
    <sheetView showGridLines="0" zoomScaleNormal="100" workbookViewId="0">
      <selection activeCell="V13" sqref="V13"/>
    </sheetView>
  </sheetViews>
  <sheetFormatPr defaultRowHeight="15" x14ac:dyDescent="0.25"/>
  <cols>
    <col min="1" max="1" width="4.85546875" customWidth="1"/>
    <col min="2" max="2" width="16" bestFit="1" customWidth="1"/>
    <col min="3" max="3" width="26.28515625" bestFit="1" customWidth="1"/>
    <col min="4" max="4" width="11.85546875" bestFit="1" customWidth="1"/>
    <col min="5" max="5" width="36.7109375" bestFit="1" customWidth="1"/>
    <col min="6" max="6" width="15" bestFit="1" customWidth="1"/>
    <col min="7" max="7" width="17.85546875" bestFit="1" customWidth="1"/>
    <col min="8" max="8" width="16.85546875" bestFit="1" customWidth="1"/>
    <col min="9" max="9" width="19.7109375" bestFit="1" customWidth="1"/>
    <col min="10" max="10" width="16.7109375" bestFit="1" customWidth="1"/>
    <col min="12" max="12" width="11.85546875" bestFit="1" customWidth="1"/>
    <col min="13" max="13" width="36.7109375" bestFit="1" customWidth="1"/>
    <col min="14" max="14" width="15.85546875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7.28515625" bestFit="1" customWidth="1"/>
    <col min="19" max="19" width="10.7109375" bestFit="1" customWidth="1"/>
    <col min="20" max="20" width="4.42578125" customWidth="1"/>
    <col min="21" max="21" width="11.85546875" customWidth="1"/>
    <col min="22" max="22" width="41.28515625" bestFit="1" customWidth="1"/>
    <col min="23" max="24" width="4" customWidth="1"/>
    <col min="25" max="25" width="22.42578125" bestFit="1" customWidth="1"/>
    <col min="26" max="26" width="21.42578125" bestFit="1" customWidth="1"/>
    <col min="27" max="27" width="20.7109375" bestFit="1" customWidth="1"/>
  </cols>
  <sheetData>
    <row r="2" spans="2:27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4" spans="2:27" x14ac:dyDescent="0.25">
      <c r="B4" s="14" t="s">
        <v>0</v>
      </c>
      <c r="C4" s="14" t="s">
        <v>1</v>
      </c>
      <c r="D4" s="14" t="s">
        <v>2</v>
      </c>
      <c r="E4" s="14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L4" s="14" t="s">
        <v>2</v>
      </c>
      <c r="M4" s="14" t="s">
        <v>3</v>
      </c>
      <c r="N4" s="14" t="s">
        <v>69</v>
      </c>
      <c r="O4" s="14" t="s">
        <v>70</v>
      </c>
      <c r="P4" s="14" t="s">
        <v>71</v>
      </c>
      <c r="Q4" s="14" t="s">
        <v>72</v>
      </c>
      <c r="R4" s="14" t="s">
        <v>73</v>
      </c>
      <c r="S4" s="14" t="s">
        <v>74</v>
      </c>
      <c r="T4" s="14" t="s">
        <v>75</v>
      </c>
      <c r="U4" s="14" t="s">
        <v>76</v>
      </c>
      <c r="V4" s="14" t="s">
        <v>77</v>
      </c>
      <c r="W4" s="14" t="s">
        <v>78</v>
      </c>
      <c r="X4" s="14" t="s">
        <v>79</v>
      </c>
      <c r="Y4" s="15" t="s">
        <v>80</v>
      </c>
      <c r="Z4" s="15" t="s">
        <v>81</v>
      </c>
      <c r="AA4" s="16" t="s">
        <v>82</v>
      </c>
    </row>
    <row r="5" spans="2:27" x14ac:dyDescent="0.25">
      <c r="B5" s="2" t="s">
        <v>1236</v>
      </c>
      <c r="C5" s="8" t="s">
        <v>24</v>
      </c>
      <c r="D5" s="3" t="s">
        <v>1237</v>
      </c>
      <c r="E5" s="3" t="s">
        <v>1238</v>
      </c>
      <c r="F5" s="4">
        <v>0</v>
      </c>
      <c r="G5" s="4">
        <v>13.72</v>
      </c>
      <c r="H5" s="4">
        <v>13.72</v>
      </c>
      <c r="I5" s="4">
        <v>0</v>
      </c>
      <c r="J5" s="5">
        <v>-13.72</v>
      </c>
      <c r="L5" s="23" t="s">
        <v>1237</v>
      </c>
      <c r="M5" s="23" t="s">
        <v>1238</v>
      </c>
      <c r="N5" s="58">
        <v>45888</v>
      </c>
      <c r="O5" s="23" t="s">
        <v>1241</v>
      </c>
      <c r="P5" s="23" t="s">
        <v>1460</v>
      </c>
      <c r="Q5" s="23" t="s">
        <v>1243</v>
      </c>
      <c r="R5" s="23" t="s">
        <v>87</v>
      </c>
      <c r="S5" s="58">
        <v>45888</v>
      </c>
      <c r="T5" s="23" t="s">
        <v>83</v>
      </c>
      <c r="U5" s="23" t="s">
        <v>1461</v>
      </c>
      <c r="V5" s="25" t="s">
        <v>1245</v>
      </c>
      <c r="W5" s="52" t="s">
        <v>83</v>
      </c>
      <c r="X5" s="52" t="s">
        <v>83</v>
      </c>
      <c r="Y5" s="53">
        <v>0</v>
      </c>
      <c r="Z5" s="53">
        <v>6.86</v>
      </c>
      <c r="AA5" s="5">
        <v>0</v>
      </c>
    </row>
    <row r="6" spans="2:27" x14ac:dyDescent="0.25">
      <c r="B6" s="2"/>
      <c r="C6" s="8"/>
      <c r="D6" s="3" t="s">
        <v>1239</v>
      </c>
      <c r="E6" s="3" t="s">
        <v>1240</v>
      </c>
      <c r="F6" s="4">
        <v>0</v>
      </c>
      <c r="G6" s="4">
        <v>39.06</v>
      </c>
      <c r="H6" s="4">
        <v>39.06</v>
      </c>
      <c r="I6" s="4">
        <v>0</v>
      </c>
      <c r="J6" s="5">
        <v>-39.06</v>
      </c>
      <c r="L6" s="29"/>
      <c r="M6" s="29"/>
      <c r="N6" s="59"/>
      <c r="O6" s="29"/>
      <c r="P6" s="29"/>
      <c r="Q6" s="29"/>
      <c r="R6" s="29"/>
      <c r="S6" s="59"/>
      <c r="T6" s="29"/>
      <c r="U6" s="29"/>
      <c r="V6" s="25" t="s">
        <v>1251</v>
      </c>
      <c r="W6" s="52" t="s">
        <v>83</v>
      </c>
      <c r="X6" s="52" t="s">
        <v>83</v>
      </c>
      <c r="Y6" s="53">
        <v>0</v>
      </c>
      <c r="Z6" s="53">
        <v>6.86</v>
      </c>
      <c r="AA6" s="5">
        <v>0</v>
      </c>
    </row>
    <row r="7" spans="2:27" x14ac:dyDescent="0.25">
      <c r="B7" s="2"/>
      <c r="C7" s="9"/>
      <c r="D7" s="3" t="s">
        <v>37</v>
      </c>
      <c r="E7" s="3" t="s">
        <v>38</v>
      </c>
      <c r="F7" s="4">
        <v>0</v>
      </c>
      <c r="G7" s="4">
        <v>277.58999999999997</v>
      </c>
      <c r="H7" s="4">
        <v>277.58999999999997</v>
      </c>
      <c r="I7" s="4">
        <v>0</v>
      </c>
      <c r="J7" s="5">
        <v>-277.58999999999997</v>
      </c>
      <c r="L7" s="54" t="s">
        <v>1274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6">
        <v>0</v>
      </c>
      <c r="Z7" s="56">
        <v>13.72</v>
      </c>
      <c r="AA7" s="57">
        <v>0</v>
      </c>
    </row>
    <row r="8" spans="2:27" x14ac:dyDescent="0.25">
      <c r="B8" s="11"/>
      <c r="C8" s="6" t="s">
        <v>67</v>
      </c>
      <c r="D8" s="6"/>
      <c r="E8" s="6"/>
      <c r="F8" s="7">
        <v>0</v>
      </c>
      <c r="G8" s="7">
        <v>330.37</v>
      </c>
      <c r="H8" s="7">
        <v>330.37</v>
      </c>
      <c r="I8" s="7">
        <v>0</v>
      </c>
      <c r="J8" s="7">
        <v>-330.37</v>
      </c>
      <c r="L8" s="25" t="s">
        <v>1239</v>
      </c>
      <c r="M8" s="25" t="s">
        <v>1240</v>
      </c>
      <c r="N8" s="24">
        <v>45888</v>
      </c>
      <c r="O8" s="25" t="s">
        <v>1241</v>
      </c>
      <c r="P8" s="25" t="s">
        <v>1460</v>
      </c>
      <c r="Q8" s="25" t="s">
        <v>1243</v>
      </c>
      <c r="R8" s="25" t="s">
        <v>87</v>
      </c>
      <c r="S8" s="24">
        <v>45888</v>
      </c>
      <c r="T8" s="25" t="s">
        <v>83</v>
      </c>
      <c r="U8" s="25" t="s">
        <v>1461</v>
      </c>
      <c r="V8" s="25" t="s">
        <v>1245</v>
      </c>
      <c r="W8" s="52" t="s">
        <v>83</v>
      </c>
      <c r="X8" s="52" t="s">
        <v>83</v>
      </c>
      <c r="Y8" s="53">
        <v>0</v>
      </c>
      <c r="Z8" s="53">
        <v>39.06</v>
      </c>
      <c r="AA8" s="5">
        <v>0</v>
      </c>
    </row>
    <row r="9" spans="2:27" x14ac:dyDescent="0.25">
      <c r="B9" s="12" t="s">
        <v>68</v>
      </c>
      <c r="C9" s="12"/>
      <c r="D9" s="12"/>
      <c r="E9" s="12"/>
      <c r="F9" s="13">
        <v>0</v>
      </c>
      <c r="G9" s="13">
        <v>330.37</v>
      </c>
      <c r="H9" s="13">
        <v>330.37</v>
      </c>
      <c r="I9" s="13">
        <v>0</v>
      </c>
      <c r="J9" s="13">
        <v>-330.37</v>
      </c>
      <c r="L9" s="54" t="s">
        <v>1287</v>
      </c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6">
        <v>0</v>
      </c>
      <c r="Z9" s="56">
        <v>39.06</v>
      </c>
      <c r="AA9" s="57">
        <v>0</v>
      </c>
    </row>
    <row r="10" spans="2:27" x14ac:dyDescent="0.25">
      <c r="L10" s="23" t="s">
        <v>37</v>
      </c>
      <c r="M10" s="23" t="s">
        <v>38</v>
      </c>
      <c r="N10" s="58">
        <v>45888</v>
      </c>
      <c r="O10" s="23" t="s">
        <v>1241</v>
      </c>
      <c r="P10" s="23" t="s">
        <v>1460</v>
      </c>
      <c r="Q10" s="23" t="s">
        <v>1243</v>
      </c>
      <c r="R10" s="23" t="s">
        <v>87</v>
      </c>
      <c r="S10" s="58">
        <v>45888</v>
      </c>
      <c r="T10" s="23" t="s">
        <v>83</v>
      </c>
      <c r="U10" s="23" t="s">
        <v>1461</v>
      </c>
      <c r="V10" s="25" t="s">
        <v>1245</v>
      </c>
      <c r="W10" s="52" t="s">
        <v>83</v>
      </c>
      <c r="X10" s="52" t="s">
        <v>83</v>
      </c>
      <c r="Y10" s="53">
        <v>0</v>
      </c>
      <c r="Z10" s="53">
        <v>253.24</v>
      </c>
      <c r="AA10" s="5">
        <v>0</v>
      </c>
    </row>
    <row r="11" spans="2:27" x14ac:dyDescent="0.25">
      <c r="L11" s="29"/>
      <c r="M11" s="29"/>
      <c r="N11" s="59"/>
      <c r="O11" s="29"/>
      <c r="P11" s="29"/>
      <c r="Q11" s="29"/>
      <c r="R11" s="29"/>
      <c r="S11" s="59"/>
      <c r="T11" s="29"/>
      <c r="U11" s="29"/>
      <c r="V11" s="25" t="s">
        <v>1251</v>
      </c>
      <c r="W11" s="52" t="s">
        <v>83</v>
      </c>
      <c r="X11" s="52" t="s">
        <v>83</v>
      </c>
      <c r="Y11" s="53">
        <v>0</v>
      </c>
      <c r="Z11" s="53">
        <v>24.35</v>
      </c>
      <c r="AA11" s="5">
        <v>0</v>
      </c>
    </row>
    <row r="12" spans="2:27" x14ac:dyDescent="0.25">
      <c r="L12" s="54" t="s">
        <v>193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6">
        <v>0</v>
      </c>
      <c r="Z12" s="56">
        <v>277.58999999999997</v>
      </c>
      <c r="AA12" s="57">
        <v>0</v>
      </c>
    </row>
  </sheetData>
  <mergeCells count="2">
    <mergeCell ref="B2:J2"/>
    <mergeCell ref="L2:A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F3AA-3C42-4433-824D-1D4FE0323B35}">
  <sheetPr>
    <tabColor theme="2" tint="-9.9978637043366805E-2"/>
  </sheetPr>
  <dimension ref="B2:AA18"/>
  <sheetViews>
    <sheetView showGridLines="0" workbookViewId="0">
      <selection activeCell="H18" sqref="H18"/>
    </sheetView>
  </sheetViews>
  <sheetFormatPr defaultRowHeight="19.5" customHeight="1" x14ac:dyDescent="0.25"/>
  <cols>
    <col min="1" max="1" width="4.7109375" customWidth="1"/>
    <col min="2" max="2" width="16" bestFit="1" customWidth="1"/>
    <col min="3" max="3" width="26.28515625" customWidth="1"/>
    <col min="4" max="4" width="11.85546875" bestFit="1" customWidth="1"/>
    <col min="5" max="5" width="33.85546875" bestFit="1" customWidth="1"/>
    <col min="6" max="6" width="14.5703125" bestFit="1" customWidth="1"/>
    <col min="7" max="7" width="17.85546875" bestFit="1" customWidth="1"/>
    <col min="8" max="8" width="16.42578125" bestFit="1" customWidth="1"/>
    <col min="9" max="9" width="19.28515625" bestFit="1" customWidth="1"/>
    <col min="10" max="10" width="16.7109375" bestFit="1" customWidth="1"/>
    <col min="11" max="11" width="9.28515625" customWidth="1"/>
    <col min="12" max="12" width="11.85546875" bestFit="1" customWidth="1"/>
    <col min="13" max="13" width="33.85546875" bestFit="1" customWidth="1"/>
    <col min="14" max="14" width="15.85546875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5.28515625" bestFit="1" customWidth="1"/>
    <col min="19" max="19" width="10.7109375" bestFit="1" customWidth="1"/>
    <col min="20" max="21" width="3.7109375" customWidth="1"/>
    <col min="22" max="22" width="26.5703125" bestFit="1" customWidth="1"/>
    <col min="23" max="23" width="77.5703125" bestFit="1" customWidth="1"/>
    <col min="24" max="24" width="8.42578125" customWidth="1"/>
    <col min="25" max="25" width="22.42578125" bestFit="1" customWidth="1"/>
    <col min="26" max="26" width="21.42578125" bestFit="1" customWidth="1"/>
    <col min="27" max="27" width="20.7109375" bestFit="1" customWidth="1"/>
  </cols>
  <sheetData>
    <row r="2" spans="2:27" ht="19.5" customHeight="1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3" spans="2:27" ht="19.5" customHeight="1" x14ac:dyDescent="0.25">
      <c r="B3" s="82"/>
      <c r="C3" s="82"/>
      <c r="D3" s="82"/>
      <c r="E3" s="82"/>
      <c r="F3" s="82"/>
    </row>
    <row r="4" spans="2:27" ht="19.5" customHeight="1" x14ac:dyDescent="0.25">
      <c r="B4" s="101" t="s">
        <v>344</v>
      </c>
      <c r="C4" s="101" t="s">
        <v>1</v>
      </c>
      <c r="D4" s="101" t="s">
        <v>2</v>
      </c>
      <c r="E4" s="101" t="s">
        <v>3</v>
      </c>
      <c r="F4" s="101" t="s">
        <v>1463</v>
      </c>
      <c r="G4" s="101" t="s">
        <v>5</v>
      </c>
      <c r="H4" s="101" t="s">
        <v>1464</v>
      </c>
      <c r="I4" s="101" t="s">
        <v>1465</v>
      </c>
      <c r="J4" s="101" t="s">
        <v>8</v>
      </c>
      <c r="L4" s="121" t="s">
        <v>2</v>
      </c>
      <c r="M4" s="121" t="s">
        <v>3</v>
      </c>
      <c r="N4" s="121" t="s">
        <v>69</v>
      </c>
      <c r="O4" s="121" t="s">
        <v>70</v>
      </c>
      <c r="P4" s="121" t="s">
        <v>71</v>
      </c>
      <c r="Q4" s="121" t="s">
        <v>72</v>
      </c>
      <c r="R4" s="121" t="s">
        <v>73</v>
      </c>
      <c r="S4" s="121" t="s">
        <v>74</v>
      </c>
      <c r="T4" s="121" t="s">
        <v>75</v>
      </c>
      <c r="U4" s="121" t="s">
        <v>76</v>
      </c>
      <c r="V4" s="121" t="s">
        <v>77</v>
      </c>
      <c r="W4" s="121" t="s">
        <v>78</v>
      </c>
      <c r="X4" s="121" t="s">
        <v>79</v>
      </c>
      <c r="Y4" s="122" t="s">
        <v>80</v>
      </c>
      <c r="Z4" s="122" t="s">
        <v>81</v>
      </c>
      <c r="AA4" s="123" t="s">
        <v>82</v>
      </c>
    </row>
    <row r="5" spans="2:27" ht="19.5" customHeight="1" x14ac:dyDescent="0.25">
      <c r="B5" s="141" t="s">
        <v>1466</v>
      </c>
      <c r="C5" s="144" t="s">
        <v>24</v>
      </c>
      <c r="D5" s="102" t="s">
        <v>39</v>
      </c>
      <c r="E5" s="102" t="s">
        <v>40</v>
      </c>
      <c r="F5" s="103">
        <v>0</v>
      </c>
      <c r="G5" s="104">
        <v>181.09</v>
      </c>
      <c r="H5" s="104">
        <v>181.09</v>
      </c>
      <c r="I5" s="103">
        <v>0</v>
      </c>
      <c r="J5" s="104">
        <v>-181.09</v>
      </c>
      <c r="L5" s="113" t="s">
        <v>39</v>
      </c>
      <c r="M5" s="113" t="s">
        <v>40</v>
      </c>
      <c r="N5" s="114">
        <v>45469</v>
      </c>
      <c r="O5" s="113" t="s">
        <v>111</v>
      </c>
      <c r="P5" s="113" t="s">
        <v>1376</v>
      </c>
      <c r="Q5" s="113" t="s">
        <v>113</v>
      </c>
      <c r="R5" s="115" t="s">
        <v>114</v>
      </c>
      <c r="S5" s="114">
        <v>45469</v>
      </c>
      <c r="T5" s="113" t="s">
        <v>83</v>
      </c>
      <c r="U5" s="113" t="s">
        <v>83</v>
      </c>
      <c r="V5" s="113" t="s">
        <v>1377</v>
      </c>
      <c r="W5" s="116" t="s">
        <v>1378</v>
      </c>
      <c r="X5" s="116" t="s">
        <v>83</v>
      </c>
      <c r="Y5" s="117">
        <v>0</v>
      </c>
      <c r="Z5" s="53">
        <v>181.09</v>
      </c>
      <c r="AA5" s="118">
        <v>0</v>
      </c>
    </row>
    <row r="6" spans="2:27" ht="19.5" customHeight="1" x14ac:dyDescent="0.25">
      <c r="B6" s="142"/>
      <c r="C6" s="144"/>
      <c r="D6" s="102" t="s">
        <v>45</v>
      </c>
      <c r="E6" s="102" t="s">
        <v>46</v>
      </c>
      <c r="F6" s="103">
        <v>0</v>
      </c>
      <c r="G6" s="104">
        <v>36.51</v>
      </c>
      <c r="H6" s="104">
        <v>36.51</v>
      </c>
      <c r="I6" s="103">
        <v>0</v>
      </c>
      <c r="J6" s="104">
        <v>-36.51</v>
      </c>
      <c r="L6" s="139" t="s">
        <v>227</v>
      </c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19">
        <v>0</v>
      </c>
      <c r="Z6" s="119">
        <v>181.09</v>
      </c>
      <c r="AA6" s="120">
        <v>0</v>
      </c>
    </row>
    <row r="7" spans="2:27" ht="19.5" customHeight="1" x14ac:dyDescent="0.25">
      <c r="B7" s="142"/>
      <c r="C7" s="144"/>
      <c r="D7" s="102" t="s">
        <v>55</v>
      </c>
      <c r="E7" s="102" t="s">
        <v>56</v>
      </c>
      <c r="F7" s="103">
        <v>0</v>
      </c>
      <c r="G7" s="104">
        <v>0</v>
      </c>
      <c r="H7" s="104">
        <v>0</v>
      </c>
      <c r="I7" s="103">
        <v>0</v>
      </c>
      <c r="J7" s="104">
        <v>0</v>
      </c>
      <c r="L7" s="113" t="s">
        <v>45</v>
      </c>
      <c r="M7" s="113" t="s">
        <v>46</v>
      </c>
      <c r="N7" s="114">
        <v>45469</v>
      </c>
      <c r="O7" s="113" t="s">
        <v>111</v>
      </c>
      <c r="P7" s="113" t="s">
        <v>1376</v>
      </c>
      <c r="Q7" s="113" t="s">
        <v>113</v>
      </c>
      <c r="R7" s="115" t="s">
        <v>114</v>
      </c>
      <c r="S7" s="114">
        <v>45469</v>
      </c>
      <c r="T7" s="113" t="s">
        <v>83</v>
      </c>
      <c r="U7" s="113" t="s">
        <v>83</v>
      </c>
      <c r="V7" s="113" t="s">
        <v>1379</v>
      </c>
      <c r="W7" s="116" t="s">
        <v>1378</v>
      </c>
      <c r="X7" s="116" t="s">
        <v>83</v>
      </c>
      <c r="Y7" s="117">
        <v>0</v>
      </c>
      <c r="Z7" s="53">
        <v>36.51</v>
      </c>
      <c r="AA7" s="118">
        <v>0</v>
      </c>
    </row>
    <row r="8" spans="2:27" ht="19.5" customHeight="1" x14ac:dyDescent="0.25">
      <c r="B8" s="143"/>
      <c r="C8" s="145" t="s">
        <v>67</v>
      </c>
      <c r="D8" s="146"/>
      <c r="E8" s="147"/>
      <c r="F8" s="105">
        <v>0</v>
      </c>
      <c r="G8" s="106">
        <v>217.6</v>
      </c>
      <c r="H8" s="106">
        <v>217.6</v>
      </c>
      <c r="I8" s="105">
        <v>0</v>
      </c>
      <c r="J8" s="106">
        <v>-217.6</v>
      </c>
      <c r="L8" s="139" t="s">
        <v>256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19">
        <v>0</v>
      </c>
      <c r="Z8" s="119">
        <v>36.51</v>
      </c>
      <c r="AA8" s="120">
        <v>0</v>
      </c>
    </row>
    <row r="9" spans="2:27" ht="19.5" customHeight="1" x14ac:dyDescent="0.25">
      <c r="B9" s="138" t="s">
        <v>1304</v>
      </c>
      <c r="C9" s="138"/>
      <c r="D9" s="138"/>
      <c r="E9" s="138"/>
      <c r="F9" s="107">
        <v>0</v>
      </c>
      <c r="G9" s="108">
        <v>217.6</v>
      </c>
      <c r="H9" s="108">
        <v>217.6</v>
      </c>
      <c r="I9" s="107">
        <v>0</v>
      </c>
      <c r="J9" s="108">
        <v>-217.6</v>
      </c>
      <c r="N9" s="109"/>
    </row>
    <row r="10" spans="2:27" ht="19.5" customHeight="1" x14ac:dyDescent="0.25">
      <c r="N10" s="109"/>
    </row>
    <row r="11" spans="2:27" ht="19.5" customHeight="1" x14ac:dyDescent="0.25">
      <c r="B11" s="109"/>
      <c r="C11" s="109"/>
      <c r="N11" s="109"/>
    </row>
    <row r="12" spans="2:27" ht="19.5" customHeight="1" x14ac:dyDescent="0.25">
      <c r="B12" s="110"/>
      <c r="C12" s="110"/>
      <c r="D12" s="109"/>
      <c r="N12" s="109"/>
    </row>
    <row r="13" spans="2:27" ht="19.5" customHeight="1" x14ac:dyDescent="0.25">
      <c r="B13" s="111"/>
      <c r="C13" s="111"/>
      <c r="D13" s="109"/>
      <c r="N13" s="109"/>
    </row>
    <row r="14" spans="2:27" ht="19.5" customHeight="1" x14ac:dyDescent="0.25">
      <c r="B14" s="111"/>
      <c r="C14" s="111"/>
      <c r="D14" s="109"/>
      <c r="N14" s="109"/>
    </row>
    <row r="15" spans="2:27" ht="19.5" customHeight="1" x14ac:dyDescent="0.25">
      <c r="B15" s="111"/>
      <c r="C15" s="111"/>
      <c r="D15" s="109"/>
    </row>
    <row r="16" spans="2:27" ht="19.5" customHeight="1" x14ac:dyDescent="0.25">
      <c r="B16" s="111"/>
      <c r="C16" s="111"/>
      <c r="D16" s="109"/>
    </row>
    <row r="17" spans="2:4" ht="19.5" customHeight="1" x14ac:dyDescent="0.25">
      <c r="B17" s="111"/>
      <c r="C17" s="111"/>
      <c r="D17" s="109"/>
    </row>
    <row r="18" spans="2:4" ht="19.5" customHeight="1" x14ac:dyDescent="0.25">
      <c r="B18" s="111"/>
      <c r="C18" s="111"/>
      <c r="D18" s="109"/>
    </row>
  </sheetData>
  <mergeCells count="8">
    <mergeCell ref="B9:E9"/>
    <mergeCell ref="L6:X6"/>
    <mergeCell ref="L8:X8"/>
    <mergeCell ref="L2:AA2"/>
    <mergeCell ref="B2:J2"/>
    <mergeCell ref="B5:B8"/>
    <mergeCell ref="C5:C7"/>
    <mergeCell ref="C8:E8"/>
  </mergeCells>
  <hyperlinks>
    <hyperlink ref="R7" r:id="rId1" xr:uid="{2A201D01-0D1E-4361-B89D-B7B061D67156}"/>
    <hyperlink ref="R5" r:id="rId2" xr:uid="{E6844F0B-4160-416B-B65F-2382D912AC0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0A1F-8D55-4C3D-A468-C397A6BAE135}">
  <sheetPr>
    <tabColor theme="2" tint="-9.9978637043366805E-2"/>
  </sheetPr>
  <dimension ref="B2:AA83"/>
  <sheetViews>
    <sheetView showGridLines="0" zoomScaleNormal="100" workbookViewId="0">
      <selection activeCell="E5" sqref="E5:E19"/>
    </sheetView>
  </sheetViews>
  <sheetFormatPr defaultColWidth="44" defaultRowHeight="20.25" customHeight="1" x14ac:dyDescent="0.25"/>
  <cols>
    <col min="1" max="1" width="4.7109375" customWidth="1"/>
    <col min="2" max="2" width="20.7109375" bestFit="1" customWidth="1"/>
    <col min="3" max="3" width="33.5703125" bestFit="1" customWidth="1"/>
    <col min="4" max="4" width="15.85546875" bestFit="1" customWidth="1"/>
    <col min="5" max="5" width="40.140625" bestFit="1" customWidth="1"/>
    <col min="6" max="6" width="19.140625" bestFit="1" customWidth="1"/>
    <col min="7" max="7" width="24.42578125" bestFit="1" customWidth="1"/>
    <col min="8" max="8" width="21.5703125" bestFit="1" customWidth="1"/>
    <col min="9" max="9" width="25.7109375" bestFit="1" customWidth="1"/>
    <col min="10" max="10" width="22.42578125" bestFit="1" customWidth="1"/>
    <col min="11" max="11" width="9" customWidth="1"/>
    <col min="12" max="12" width="15.85546875" bestFit="1" customWidth="1"/>
    <col min="13" max="13" width="40.140625" bestFit="1" customWidth="1"/>
    <col min="14" max="14" width="21.5703125" bestFit="1" customWidth="1"/>
    <col min="15" max="15" width="13.140625" bestFit="1" customWidth="1"/>
    <col min="16" max="16" width="22.85546875" bestFit="1" customWidth="1"/>
    <col min="17" max="17" width="8.5703125" bestFit="1" customWidth="1"/>
    <col min="18" max="18" width="16.28515625" bestFit="1" customWidth="1"/>
    <col min="19" max="19" width="12.85546875" bestFit="1" customWidth="1"/>
    <col min="20" max="20" width="12.85546875" customWidth="1"/>
    <col min="21" max="21" width="16" customWidth="1"/>
    <col min="22" max="22" width="45" bestFit="1" customWidth="1"/>
    <col min="23" max="23" width="116" bestFit="1" customWidth="1"/>
    <col min="24" max="24" width="9.85546875" customWidth="1"/>
    <col min="25" max="25" width="28.7109375" bestFit="1" customWidth="1"/>
    <col min="26" max="26" width="27.42578125" bestFit="1" customWidth="1"/>
    <col min="27" max="27" width="27.140625" bestFit="1" customWidth="1"/>
  </cols>
  <sheetData>
    <row r="2" spans="2:27" ht="20.25" customHeight="1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3" spans="2:27" ht="20.25" customHeight="1" x14ac:dyDescent="0.25">
      <c r="B3" s="82"/>
      <c r="C3" s="82"/>
      <c r="D3" s="82"/>
      <c r="E3" s="82"/>
      <c r="F3" s="82"/>
      <c r="G3" s="82"/>
      <c r="H3" s="82"/>
      <c r="I3" s="82"/>
      <c r="J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</row>
    <row r="4" spans="2:27" ht="20.25" customHeight="1" x14ac:dyDescent="0.25">
      <c r="B4" s="101" t="s">
        <v>344</v>
      </c>
      <c r="C4" s="101" t="s">
        <v>1</v>
      </c>
      <c r="D4" s="101" t="s">
        <v>2</v>
      </c>
      <c r="E4" s="101" t="s">
        <v>3</v>
      </c>
      <c r="F4" s="101" t="s">
        <v>1463</v>
      </c>
      <c r="G4" s="101" t="s">
        <v>5</v>
      </c>
      <c r="H4" s="101" t="s">
        <v>1464</v>
      </c>
      <c r="I4" s="101" t="s">
        <v>1465</v>
      </c>
      <c r="J4" s="101" t="s">
        <v>8</v>
      </c>
      <c r="L4" s="121" t="s">
        <v>2</v>
      </c>
      <c r="M4" s="121" t="s">
        <v>3</v>
      </c>
      <c r="N4" s="121" t="s">
        <v>69</v>
      </c>
      <c r="O4" s="121" t="s">
        <v>70</v>
      </c>
      <c r="P4" s="121" t="s">
        <v>71</v>
      </c>
      <c r="Q4" s="121" t="s">
        <v>72</v>
      </c>
      <c r="R4" s="121" t="s">
        <v>73</v>
      </c>
      <c r="S4" s="121" t="s">
        <v>74</v>
      </c>
      <c r="T4" s="121" t="s">
        <v>75</v>
      </c>
      <c r="U4" s="121" t="s">
        <v>1468</v>
      </c>
      <c r="V4" s="121" t="s">
        <v>77</v>
      </c>
      <c r="W4" s="121" t="s">
        <v>78</v>
      </c>
      <c r="X4" s="121" t="s">
        <v>79</v>
      </c>
      <c r="Y4" s="122" t="s">
        <v>80</v>
      </c>
      <c r="Z4" s="122" t="s">
        <v>81</v>
      </c>
      <c r="AA4" s="123" t="s">
        <v>82</v>
      </c>
    </row>
    <row r="5" spans="2:27" ht="20.25" customHeight="1" x14ac:dyDescent="0.25">
      <c r="B5" s="157" t="s">
        <v>1466</v>
      </c>
      <c r="C5" s="144" t="s">
        <v>24</v>
      </c>
      <c r="D5" s="102" t="s">
        <v>378</v>
      </c>
      <c r="E5" s="102" t="s">
        <v>379</v>
      </c>
      <c r="F5" s="103">
        <v>0</v>
      </c>
      <c r="G5" s="104">
        <v>0</v>
      </c>
      <c r="H5" s="104">
        <v>0</v>
      </c>
      <c r="I5" s="103">
        <v>0</v>
      </c>
      <c r="J5" s="104">
        <v>0</v>
      </c>
      <c r="L5" s="154" t="s">
        <v>378</v>
      </c>
      <c r="M5" s="154" t="s">
        <v>379</v>
      </c>
      <c r="N5" s="148">
        <v>45772</v>
      </c>
      <c r="O5" s="154" t="s">
        <v>329</v>
      </c>
      <c r="P5" s="154" t="s">
        <v>1289</v>
      </c>
      <c r="Q5" s="154" t="s">
        <v>113</v>
      </c>
      <c r="R5" s="150" t="s">
        <v>114</v>
      </c>
      <c r="S5" s="148">
        <v>45772</v>
      </c>
      <c r="T5" s="154" t="s">
        <v>83</v>
      </c>
      <c r="U5" s="160" t="s">
        <v>1469</v>
      </c>
      <c r="V5" s="113" t="s">
        <v>1290</v>
      </c>
      <c r="W5" s="116" t="s">
        <v>1291</v>
      </c>
      <c r="X5" s="116" t="s">
        <v>83</v>
      </c>
      <c r="Y5" s="117">
        <v>0</v>
      </c>
      <c r="Z5" s="53">
        <v>29.38</v>
      </c>
      <c r="AA5" s="118">
        <v>0</v>
      </c>
    </row>
    <row r="6" spans="2:27" ht="20.25" customHeight="1" x14ac:dyDescent="0.25">
      <c r="B6" s="158"/>
      <c r="C6" s="144"/>
      <c r="D6" s="102" t="s">
        <v>380</v>
      </c>
      <c r="E6" s="102" t="s">
        <v>381</v>
      </c>
      <c r="F6" s="103">
        <v>0</v>
      </c>
      <c r="G6" s="104">
        <v>0</v>
      </c>
      <c r="H6" s="104">
        <v>0</v>
      </c>
      <c r="I6" s="103">
        <v>0</v>
      </c>
      <c r="J6" s="104">
        <v>0</v>
      </c>
      <c r="L6" s="155"/>
      <c r="M6" s="155"/>
      <c r="N6" s="153"/>
      <c r="O6" s="155"/>
      <c r="P6" s="155"/>
      <c r="Q6" s="155"/>
      <c r="R6" s="151"/>
      <c r="S6" s="153"/>
      <c r="T6" s="155"/>
      <c r="U6" s="161"/>
      <c r="V6" s="113" t="s">
        <v>1292</v>
      </c>
      <c r="W6" s="116" t="s">
        <v>1291</v>
      </c>
      <c r="X6" s="116" t="s">
        <v>83</v>
      </c>
      <c r="Y6" s="117">
        <v>0</v>
      </c>
      <c r="Z6" s="53">
        <v>62.5</v>
      </c>
      <c r="AA6" s="118">
        <v>0</v>
      </c>
    </row>
    <row r="7" spans="2:27" ht="20.25" customHeight="1" x14ac:dyDescent="0.25">
      <c r="B7" s="158"/>
      <c r="C7" s="144"/>
      <c r="D7" s="102" t="s">
        <v>382</v>
      </c>
      <c r="E7" s="102" t="s">
        <v>383</v>
      </c>
      <c r="F7" s="103">
        <v>0</v>
      </c>
      <c r="G7" s="104">
        <v>0</v>
      </c>
      <c r="H7" s="104">
        <v>0</v>
      </c>
      <c r="I7" s="103">
        <v>0</v>
      </c>
      <c r="J7" s="104">
        <v>0</v>
      </c>
      <c r="L7" s="155"/>
      <c r="M7" s="155"/>
      <c r="N7" s="149"/>
      <c r="O7" s="156"/>
      <c r="P7" s="156"/>
      <c r="Q7" s="156"/>
      <c r="R7" s="152"/>
      <c r="S7" s="149"/>
      <c r="T7" s="156"/>
      <c r="U7" s="162"/>
      <c r="V7" s="113" t="s">
        <v>1293</v>
      </c>
      <c r="W7" s="116" t="s">
        <v>1291</v>
      </c>
      <c r="X7" s="116" t="s">
        <v>83</v>
      </c>
      <c r="Y7" s="117">
        <v>0</v>
      </c>
      <c r="Z7" s="53">
        <v>250</v>
      </c>
      <c r="AA7" s="118">
        <v>0</v>
      </c>
    </row>
    <row r="8" spans="2:27" ht="20.25" customHeight="1" x14ac:dyDescent="0.25">
      <c r="B8" s="158"/>
      <c r="C8" s="144"/>
      <c r="D8" s="102" t="s">
        <v>386</v>
      </c>
      <c r="E8" s="102" t="s">
        <v>387</v>
      </c>
      <c r="F8" s="103">
        <v>0</v>
      </c>
      <c r="G8" s="104">
        <v>0</v>
      </c>
      <c r="H8" s="104">
        <v>0</v>
      </c>
      <c r="I8" s="103">
        <v>0</v>
      </c>
      <c r="J8" s="104">
        <v>0</v>
      </c>
      <c r="L8" s="155"/>
      <c r="M8" s="155"/>
      <c r="N8" s="148">
        <v>45849</v>
      </c>
      <c r="O8" s="154" t="s">
        <v>469</v>
      </c>
      <c r="P8" s="154" t="s">
        <v>470</v>
      </c>
      <c r="Q8" s="154" t="s">
        <v>113</v>
      </c>
      <c r="R8" s="150" t="s">
        <v>114</v>
      </c>
      <c r="S8" s="148">
        <v>45849</v>
      </c>
      <c r="T8" s="154" t="s">
        <v>83</v>
      </c>
      <c r="U8" s="160" t="s">
        <v>1469</v>
      </c>
      <c r="V8" s="113" t="s">
        <v>471</v>
      </c>
      <c r="W8" s="116" t="s">
        <v>472</v>
      </c>
      <c r="X8" s="116" t="s">
        <v>83</v>
      </c>
      <c r="Y8" s="117">
        <v>0</v>
      </c>
      <c r="Z8" s="53">
        <v>-29.38</v>
      </c>
      <c r="AA8" s="118">
        <v>0</v>
      </c>
    </row>
    <row r="9" spans="2:27" ht="20.25" customHeight="1" x14ac:dyDescent="0.25">
      <c r="B9" s="158"/>
      <c r="C9" s="144"/>
      <c r="D9" s="102" t="s">
        <v>31</v>
      </c>
      <c r="E9" s="102" t="s">
        <v>32</v>
      </c>
      <c r="F9" s="103">
        <v>0</v>
      </c>
      <c r="G9" s="104">
        <v>0</v>
      </c>
      <c r="H9" s="104">
        <v>0</v>
      </c>
      <c r="I9" s="103">
        <v>0</v>
      </c>
      <c r="J9" s="104">
        <v>0</v>
      </c>
      <c r="L9" s="155"/>
      <c r="M9" s="155"/>
      <c r="N9" s="153"/>
      <c r="O9" s="155"/>
      <c r="P9" s="155"/>
      <c r="Q9" s="155"/>
      <c r="R9" s="151"/>
      <c r="S9" s="153"/>
      <c r="T9" s="155"/>
      <c r="U9" s="161"/>
      <c r="V9" s="113" t="s">
        <v>473</v>
      </c>
      <c r="W9" s="116" t="s">
        <v>472</v>
      </c>
      <c r="X9" s="116" t="s">
        <v>83</v>
      </c>
      <c r="Y9" s="117">
        <v>0</v>
      </c>
      <c r="Z9" s="53">
        <v>-62.5</v>
      </c>
      <c r="AA9" s="118">
        <v>0</v>
      </c>
    </row>
    <row r="10" spans="2:27" ht="20.25" customHeight="1" x14ac:dyDescent="0.25">
      <c r="B10" s="158"/>
      <c r="C10" s="144"/>
      <c r="D10" s="102" t="s">
        <v>37</v>
      </c>
      <c r="E10" s="102" t="s">
        <v>38</v>
      </c>
      <c r="F10" s="103">
        <v>0</v>
      </c>
      <c r="G10" s="104">
        <v>0</v>
      </c>
      <c r="H10" s="104">
        <v>0</v>
      </c>
      <c r="I10" s="103">
        <v>0</v>
      </c>
      <c r="J10" s="104">
        <v>0</v>
      </c>
      <c r="L10" s="156"/>
      <c r="M10" s="156"/>
      <c r="N10" s="149"/>
      <c r="O10" s="156"/>
      <c r="P10" s="156"/>
      <c r="Q10" s="156"/>
      <c r="R10" s="152"/>
      <c r="S10" s="149"/>
      <c r="T10" s="156"/>
      <c r="U10" s="162"/>
      <c r="V10" s="113" t="s">
        <v>474</v>
      </c>
      <c r="W10" s="116" t="s">
        <v>472</v>
      </c>
      <c r="X10" s="116" t="s">
        <v>83</v>
      </c>
      <c r="Y10" s="117">
        <v>0</v>
      </c>
      <c r="Z10" s="53">
        <v>-250</v>
      </c>
      <c r="AA10" s="118">
        <v>0</v>
      </c>
    </row>
    <row r="11" spans="2:27" ht="20.25" customHeight="1" x14ac:dyDescent="0.25">
      <c r="B11" s="158"/>
      <c r="C11" s="144"/>
      <c r="D11" s="102" t="s">
        <v>39</v>
      </c>
      <c r="E11" s="102" t="s">
        <v>40</v>
      </c>
      <c r="F11" s="103">
        <v>0</v>
      </c>
      <c r="G11" s="104">
        <v>0</v>
      </c>
      <c r="H11" s="104">
        <v>0</v>
      </c>
      <c r="I11" s="103">
        <v>0</v>
      </c>
      <c r="J11" s="104">
        <v>0</v>
      </c>
      <c r="L11" s="139" t="s">
        <v>475</v>
      </c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19">
        <v>0</v>
      </c>
      <c r="Z11" s="119">
        <v>0</v>
      </c>
      <c r="AA11" s="120">
        <v>0</v>
      </c>
    </row>
    <row r="12" spans="2:27" ht="20.25" customHeight="1" x14ac:dyDescent="0.25">
      <c r="B12" s="158"/>
      <c r="C12" s="144"/>
      <c r="D12" s="102" t="s">
        <v>41</v>
      </c>
      <c r="E12" s="102" t="s">
        <v>42</v>
      </c>
      <c r="F12" s="103">
        <v>0</v>
      </c>
      <c r="G12" s="104">
        <v>0</v>
      </c>
      <c r="H12" s="104">
        <v>0</v>
      </c>
      <c r="I12" s="103">
        <v>0</v>
      </c>
      <c r="J12" s="104">
        <v>0</v>
      </c>
      <c r="L12" s="154" t="s">
        <v>380</v>
      </c>
      <c r="M12" s="154" t="s">
        <v>381</v>
      </c>
      <c r="N12" s="114">
        <v>45531</v>
      </c>
      <c r="O12" s="113" t="s">
        <v>111</v>
      </c>
      <c r="P12" s="113" t="s">
        <v>1294</v>
      </c>
      <c r="Q12" s="113" t="s">
        <v>113</v>
      </c>
      <c r="R12" s="115" t="s">
        <v>114</v>
      </c>
      <c r="S12" s="114">
        <v>45531</v>
      </c>
      <c r="T12" s="113" t="s">
        <v>83</v>
      </c>
      <c r="U12" s="113" t="s">
        <v>83</v>
      </c>
      <c r="V12" s="113" t="s">
        <v>1295</v>
      </c>
      <c r="W12" s="116" t="s">
        <v>1296</v>
      </c>
      <c r="X12" s="116" t="s">
        <v>83</v>
      </c>
      <c r="Y12" s="117">
        <v>0</v>
      </c>
      <c r="Z12" s="53">
        <v>95.32</v>
      </c>
      <c r="AA12" s="118">
        <v>0</v>
      </c>
    </row>
    <row r="13" spans="2:27" ht="20.25" customHeight="1" x14ac:dyDescent="0.25">
      <c r="B13" s="158"/>
      <c r="C13" s="144"/>
      <c r="D13" s="102" t="s">
        <v>43</v>
      </c>
      <c r="E13" s="102" t="s">
        <v>44</v>
      </c>
      <c r="F13" s="103">
        <v>0</v>
      </c>
      <c r="G13" s="104">
        <v>0</v>
      </c>
      <c r="H13" s="104">
        <v>0</v>
      </c>
      <c r="I13" s="103">
        <v>0</v>
      </c>
      <c r="J13" s="104">
        <v>0</v>
      </c>
      <c r="L13" s="156"/>
      <c r="M13" s="156"/>
      <c r="N13" s="114">
        <v>45849</v>
      </c>
      <c r="O13" s="113" t="s">
        <v>469</v>
      </c>
      <c r="P13" s="113" t="s">
        <v>470</v>
      </c>
      <c r="Q13" s="113" t="s">
        <v>113</v>
      </c>
      <c r="R13" s="115" t="s">
        <v>114</v>
      </c>
      <c r="S13" s="114">
        <v>45849</v>
      </c>
      <c r="T13" s="113" t="s">
        <v>83</v>
      </c>
      <c r="U13" s="113" t="s">
        <v>83</v>
      </c>
      <c r="V13" s="113" t="s">
        <v>476</v>
      </c>
      <c r="W13" s="116" t="s">
        <v>472</v>
      </c>
      <c r="X13" s="116" t="s">
        <v>83</v>
      </c>
      <c r="Y13" s="117">
        <v>0</v>
      </c>
      <c r="Z13" s="53">
        <v>-95.32</v>
      </c>
      <c r="AA13" s="118">
        <v>0</v>
      </c>
    </row>
    <row r="14" spans="2:27" ht="20.25" customHeight="1" x14ac:dyDescent="0.25">
      <c r="B14" s="158"/>
      <c r="C14" s="144"/>
      <c r="D14" s="102" t="s">
        <v>45</v>
      </c>
      <c r="E14" s="102" t="s">
        <v>46</v>
      </c>
      <c r="F14" s="103">
        <v>0</v>
      </c>
      <c r="G14" s="104">
        <v>0</v>
      </c>
      <c r="H14" s="104">
        <v>0</v>
      </c>
      <c r="I14" s="103">
        <v>0</v>
      </c>
      <c r="J14" s="104">
        <v>0</v>
      </c>
      <c r="L14" s="139" t="s">
        <v>477</v>
      </c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19">
        <v>0</v>
      </c>
      <c r="Z14" s="119">
        <v>0</v>
      </c>
      <c r="AA14" s="120">
        <v>0</v>
      </c>
    </row>
    <row r="15" spans="2:27" ht="20.25" customHeight="1" x14ac:dyDescent="0.25">
      <c r="B15" s="158"/>
      <c r="C15" s="144"/>
      <c r="D15" s="102" t="s">
        <v>47</v>
      </c>
      <c r="E15" s="102" t="s">
        <v>48</v>
      </c>
      <c r="F15" s="103">
        <v>0</v>
      </c>
      <c r="G15" s="104">
        <v>0</v>
      </c>
      <c r="H15" s="104">
        <v>0</v>
      </c>
      <c r="I15" s="103">
        <v>0</v>
      </c>
      <c r="J15" s="104">
        <v>0</v>
      </c>
      <c r="L15" s="154" t="s">
        <v>382</v>
      </c>
      <c r="M15" s="154" t="s">
        <v>383</v>
      </c>
      <c r="N15" s="148">
        <v>45554</v>
      </c>
      <c r="O15" s="154" t="s">
        <v>111</v>
      </c>
      <c r="P15" s="154" t="s">
        <v>1297</v>
      </c>
      <c r="Q15" s="154" t="s">
        <v>113</v>
      </c>
      <c r="R15" s="150" t="s">
        <v>114</v>
      </c>
      <c r="S15" s="148">
        <v>45554</v>
      </c>
      <c r="T15" s="154" t="s">
        <v>83</v>
      </c>
      <c r="U15" s="160" t="s">
        <v>83</v>
      </c>
      <c r="V15" s="113" t="s">
        <v>1298</v>
      </c>
      <c r="W15" s="116" t="s">
        <v>1299</v>
      </c>
      <c r="X15" s="116" t="s">
        <v>83</v>
      </c>
      <c r="Y15" s="117">
        <v>0</v>
      </c>
      <c r="Z15" s="53">
        <v>199</v>
      </c>
      <c r="AA15" s="118">
        <v>0</v>
      </c>
    </row>
    <row r="16" spans="2:27" ht="20.25" customHeight="1" x14ac:dyDescent="0.25">
      <c r="B16" s="158"/>
      <c r="C16" s="144"/>
      <c r="D16" s="102" t="s">
        <v>55</v>
      </c>
      <c r="E16" s="102" t="s">
        <v>56</v>
      </c>
      <c r="F16" s="103">
        <v>0</v>
      </c>
      <c r="G16" s="104">
        <v>0</v>
      </c>
      <c r="H16" s="104">
        <v>0</v>
      </c>
      <c r="I16" s="103">
        <v>0</v>
      </c>
      <c r="J16" s="104">
        <v>0</v>
      </c>
      <c r="L16" s="155"/>
      <c r="M16" s="155"/>
      <c r="N16" s="149"/>
      <c r="O16" s="156"/>
      <c r="P16" s="156"/>
      <c r="Q16" s="156"/>
      <c r="R16" s="152"/>
      <c r="S16" s="149"/>
      <c r="T16" s="156"/>
      <c r="U16" s="162"/>
      <c r="V16" s="113" t="s">
        <v>1300</v>
      </c>
      <c r="W16" s="116" t="s">
        <v>1299</v>
      </c>
      <c r="X16" s="116" t="s">
        <v>83</v>
      </c>
      <c r="Y16" s="117">
        <v>0</v>
      </c>
      <c r="Z16" s="53">
        <v>11.14</v>
      </c>
      <c r="AA16" s="118">
        <v>0</v>
      </c>
    </row>
    <row r="17" spans="2:27" ht="20.25" customHeight="1" x14ac:dyDescent="0.25">
      <c r="B17" s="158"/>
      <c r="C17" s="144" t="s">
        <v>57</v>
      </c>
      <c r="D17" s="102" t="s">
        <v>58</v>
      </c>
      <c r="E17" s="102" t="s">
        <v>59</v>
      </c>
      <c r="F17" s="103">
        <v>0</v>
      </c>
      <c r="G17" s="104">
        <v>322.72000000000003</v>
      </c>
      <c r="H17" s="104">
        <v>322.72000000000003</v>
      </c>
      <c r="I17" s="103">
        <v>0</v>
      </c>
      <c r="J17" s="104">
        <v>-322.72000000000003</v>
      </c>
      <c r="L17" s="155"/>
      <c r="M17" s="155"/>
      <c r="N17" s="114">
        <v>45560</v>
      </c>
      <c r="O17" s="113" t="s">
        <v>111</v>
      </c>
      <c r="P17" s="113" t="s">
        <v>1301</v>
      </c>
      <c r="Q17" s="113" t="s">
        <v>113</v>
      </c>
      <c r="R17" s="115" t="s">
        <v>114</v>
      </c>
      <c r="S17" s="114">
        <v>45560</v>
      </c>
      <c r="T17" s="113" t="s">
        <v>83</v>
      </c>
      <c r="U17" s="113" t="s">
        <v>83</v>
      </c>
      <c r="V17" s="113" t="s">
        <v>1302</v>
      </c>
      <c r="W17" s="116" t="s">
        <v>1303</v>
      </c>
      <c r="X17" s="116" t="s">
        <v>83</v>
      </c>
      <c r="Y17" s="117">
        <v>0</v>
      </c>
      <c r="Z17" s="53">
        <v>100</v>
      </c>
      <c r="AA17" s="118">
        <v>0</v>
      </c>
    </row>
    <row r="18" spans="2:27" ht="20.25" customHeight="1" x14ac:dyDescent="0.25">
      <c r="B18" s="158"/>
      <c r="C18" s="144"/>
      <c r="D18" s="102" t="s">
        <v>60</v>
      </c>
      <c r="E18" s="102" t="s">
        <v>61</v>
      </c>
      <c r="F18" s="103">
        <v>0</v>
      </c>
      <c r="G18" s="104">
        <v>0</v>
      </c>
      <c r="H18" s="104">
        <v>0</v>
      </c>
      <c r="I18" s="103">
        <v>0</v>
      </c>
      <c r="J18" s="104">
        <v>0</v>
      </c>
      <c r="L18" s="155"/>
      <c r="M18" s="155"/>
      <c r="N18" s="148">
        <v>45849</v>
      </c>
      <c r="O18" s="154" t="s">
        <v>469</v>
      </c>
      <c r="P18" s="154" t="s">
        <v>470</v>
      </c>
      <c r="Q18" s="154" t="s">
        <v>113</v>
      </c>
      <c r="R18" s="150" t="s">
        <v>114</v>
      </c>
      <c r="S18" s="148">
        <v>45849</v>
      </c>
      <c r="T18" s="154" t="s">
        <v>83</v>
      </c>
      <c r="U18" s="160" t="s">
        <v>83</v>
      </c>
      <c r="V18" s="113" t="s">
        <v>481</v>
      </c>
      <c r="W18" s="116" t="s">
        <v>472</v>
      </c>
      <c r="X18" s="116" t="s">
        <v>83</v>
      </c>
      <c r="Y18" s="117">
        <v>0</v>
      </c>
      <c r="Z18" s="53">
        <v>-199</v>
      </c>
      <c r="AA18" s="118">
        <v>0</v>
      </c>
    </row>
    <row r="19" spans="2:27" ht="20.25" customHeight="1" x14ac:dyDescent="0.25">
      <c r="B19" s="158"/>
      <c r="C19" s="144"/>
      <c r="D19" s="102" t="s">
        <v>62</v>
      </c>
      <c r="E19" s="102" t="s">
        <v>63</v>
      </c>
      <c r="F19" s="103">
        <v>0</v>
      </c>
      <c r="G19" s="104">
        <v>495</v>
      </c>
      <c r="H19" s="104">
        <v>495</v>
      </c>
      <c r="I19" s="103">
        <v>0</v>
      </c>
      <c r="J19" s="104">
        <v>-495</v>
      </c>
      <c r="L19" s="155"/>
      <c r="M19" s="155"/>
      <c r="N19" s="153"/>
      <c r="O19" s="155"/>
      <c r="P19" s="155"/>
      <c r="Q19" s="155"/>
      <c r="R19" s="151"/>
      <c r="S19" s="153"/>
      <c r="T19" s="155"/>
      <c r="U19" s="161"/>
      <c r="V19" s="113" t="s">
        <v>482</v>
      </c>
      <c r="W19" s="116" t="s">
        <v>472</v>
      </c>
      <c r="X19" s="116" t="s">
        <v>83</v>
      </c>
      <c r="Y19" s="117">
        <v>0</v>
      </c>
      <c r="Z19" s="53">
        <v>-11.14</v>
      </c>
      <c r="AA19" s="118">
        <v>0</v>
      </c>
    </row>
    <row r="20" spans="2:27" ht="20.25" customHeight="1" x14ac:dyDescent="0.25">
      <c r="B20" s="158"/>
      <c r="C20" s="102" t="s">
        <v>64</v>
      </c>
      <c r="D20" s="102" t="s">
        <v>65</v>
      </c>
      <c r="E20" s="102" t="s">
        <v>66</v>
      </c>
      <c r="F20" s="103">
        <v>0</v>
      </c>
      <c r="G20" s="104">
        <v>23253.64</v>
      </c>
      <c r="H20" s="104">
        <v>23253.64</v>
      </c>
      <c r="I20" s="103">
        <v>0</v>
      </c>
      <c r="J20" s="104">
        <v>-23253.64</v>
      </c>
      <c r="L20" s="156"/>
      <c r="M20" s="156"/>
      <c r="N20" s="149"/>
      <c r="O20" s="156"/>
      <c r="P20" s="156"/>
      <c r="Q20" s="156"/>
      <c r="R20" s="152"/>
      <c r="S20" s="149"/>
      <c r="T20" s="156"/>
      <c r="U20" s="162"/>
      <c r="V20" s="113" t="s">
        <v>483</v>
      </c>
      <c r="W20" s="116" t="s">
        <v>472</v>
      </c>
      <c r="X20" s="116" t="s">
        <v>83</v>
      </c>
      <c r="Y20" s="117">
        <v>0</v>
      </c>
      <c r="Z20" s="53">
        <v>-100</v>
      </c>
      <c r="AA20" s="118">
        <v>0</v>
      </c>
    </row>
    <row r="21" spans="2:27" ht="20.25" customHeight="1" x14ac:dyDescent="0.25">
      <c r="B21" s="159"/>
      <c r="C21" s="145" t="s">
        <v>67</v>
      </c>
      <c r="D21" s="146"/>
      <c r="E21" s="147"/>
      <c r="F21" s="105">
        <v>0</v>
      </c>
      <c r="G21" s="106">
        <v>24071.360000000001</v>
      </c>
      <c r="H21" s="106">
        <v>24071.360000000001</v>
      </c>
      <c r="I21" s="105">
        <v>0</v>
      </c>
      <c r="J21" s="106">
        <v>-24071.360000000001</v>
      </c>
      <c r="L21" s="139" t="s">
        <v>484</v>
      </c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19">
        <v>0</v>
      </c>
      <c r="Z21" s="119">
        <v>-1.4210854715202001E-14</v>
      </c>
      <c r="AA21" s="120">
        <v>0</v>
      </c>
    </row>
    <row r="22" spans="2:27" ht="20.25" customHeight="1" x14ac:dyDescent="0.25">
      <c r="B22" s="138" t="s">
        <v>1304</v>
      </c>
      <c r="C22" s="138"/>
      <c r="D22" s="138"/>
      <c r="E22" s="138"/>
      <c r="F22" s="107">
        <v>0</v>
      </c>
      <c r="G22" s="108">
        <v>24071.360000000001</v>
      </c>
      <c r="H22" s="108">
        <v>24071.360000000001</v>
      </c>
      <c r="I22" s="107">
        <v>0</v>
      </c>
      <c r="J22" s="108">
        <v>-24071.360000000001</v>
      </c>
      <c r="L22" s="154" t="s">
        <v>386</v>
      </c>
      <c r="M22" s="154" t="s">
        <v>387</v>
      </c>
      <c r="N22" s="114">
        <v>45762</v>
      </c>
      <c r="O22" s="113" t="s">
        <v>111</v>
      </c>
      <c r="P22" s="113" t="s">
        <v>1305</v>
      </c>
      <c r="Q22" s="113" t="s">
        <v>113</v>
      </c>
      <c r="R22" s="115" t="s">
        <v>114</v>
      </c>
      <c r="S22" s="114">
        <v>45762</v>
      </c>
      <c r="T22" s="113" t="s">
        <v>83</v>
      </c>
      <c r="U22" s="113" t="s">
        <v>83</v>
      </c>
      <c r="V22" s="113" t="s">
        <v>1306</v>
      </c>
      <c r="W22" s="116" t="s">
        <v>1307</v>
      </c>
      <c r="X22" s="116" t="s">
        <v>83</v>
      </c>
      <c r="Y22" s="117">
        <v>0</v>
      </c>
      <c r="Z22" s="53">
        <v>102.69</v>
      </c>
      <c r="AA22" s="118">
        <v>0</v>
      </c>
    </row>
    <row r="23" spans="2:27" ht="20.25" customHeight="1" x14ac:dyDescent="0.25">
      <c r="L23" s="156"/>
      <c r="M23" s="156"/>
      <c r="N23" s="114">
        <v>45849</v>
      </c>
      <c r="O23" s="113" t="s">
        <v>469</v>
      </c>
      <c r="P23" s="113" t="s">
        <v>470</v>
      </c>
      <c r="Q23" s="113" t="s">
        <v>113</v>
      </c>
      <c r="R23" s="115" t="s">
        <v>114</v>
      </c>
      <c r="S23" s="114">
        <v>45849</v>
      </c>
      <c r="T23" s="113" t="s">
        <v>83</v>
      </c>
      <c r="U23" s="113" t="s">
        <v>83</v>
      </c>
      <c r="V23" s="113" t="s">
        <v>490</v>
      </c>
      <c r="W23" s="116" t="s">
        <v>472</v>
      </c>
      <c r="X23" s="116" t="s">
        <v>83</v>
      </c>
      <c r="Y23" s="117">
        <v>0</v>
      </c>
      <c r="Z23" s="53">
        <v>-102.69</v>
      </c>
      <c r="AA23" s="118">
        <v>0</v>
      </c>
    </row>
    <row r="24" spans="2:27" ht="20.25" customHeight="1" x14ac:dyDescent="0.25">
      <c r="B24" s="109"/>
      <c r="C24" s="109"/>
      <c r="L24" s="139" t="s">
        <v>491</v>
      </c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19">
        <v>0</v>
      </c>
      <c r="Z24" s="119">
        <v>0</v>
      </c>
      <c r="AA24" s="120">
        <v>0</v>
      </c>
    </row>
    <row r="25" spans="2:27" ht="20.25" customHeight="1" x14ac:dyDescent="0.25">
      <c r="B25" s="109"/>
      <c r="C25" s="109"/>
      <c r="L25" s="154" t="s">
        <v>31</v>
      </c>
      <c r="M25" s="154" t="s">
        <v>32</v>
      </c>
      <c r="N25" s="114">
        <v>45681</v>
      </c>
      <c r="O25" s="113" t="s">
        <v>111</v>
      </c>
      <c r="P25" s="113" t="s">
        <v>1308</v>
      </c>
      <c r="Q25" s="113" t="s">
        <v>113</v>
      </c>
      <c r="R25" s="115" t="s">
        <v>114</v>
      </c>
      <c r="S25" s="114">
        <v>45681</v>
      </c>
      <c r="T25" s="113" t="s">
        <v>83</v>
      </c>
      <c r="U25" s="113" t="s">
        <v>83</v>
      </c>
      <c r="V25" s="113" t="s">
        <v>1309</v>
      </c>
      <c r="W25" s="116" t="s">
        <v>1310</v>
      </c>
      <c r="X25" s="116" t="s">
        <v>83</v>
      </c>
      <c r="Y25" s="117">
        <v>0</v>
      </c>
      <c r="Z25" s="53">
        <v>163.04</v>
      </c>
      <c r="AA25" s="118">
        <v>0</v>
      </c>
    </row>
    <row r="26" spans="2:27" ht="20.25" customHeight="1" x14ac:dyDescent="0.25">
      <c r="B26" s="109"/>
      <c r="C26" s="109"/>
      <c r="L26" s="156"/>
      <c r="M26" s="156"/>
      <c r="N26" s="114">
        <v>45849</v>
      </c>
      <c r="O26" s="113" t="s">
        <v>469</v>
      </c>
      <c r="P26" s="113" t="s">
        <v>470</v>
      </c>
      <c r="Q26" s="113" t="s">
        <v>113</v>
      </c>
      <c r="R26" s="115" t="s">
        <v>114</v>
      </c>
      <c r="S26" s="114">
        <v>45849</v>
      </c>
      <c r="T26" s="113" t="s">
        <v>83</v>
      </c>
      <c r="U26" s="113" t="s">
        <v>83</v>
      </c>
      <c r="V26" s="113" t="s">
        <v>522</v>
      </c>
      <c r="W26" s="116" t="s">
        <v>472</v>
      </c>
      <c r="X26" s="116" t="s">
        <v>83</v>
      </c>
      <c r="Y26" s="117">
        <v>0</v>
      </c>
      <c r="Z26" s="53">
        <v>-163.04</v>
      </c>
      <c r="AA26" s="118">
        <v>0</v>
      </c>
    </row>
    <row r="27" spans="2:27" ht="20.25" customHeight="1" x14ac:dyDescent="0.25">
      <c r="B27" s="109"/>
      <c r="C27" s="109"/>
      <c r="L27" s="139" t="s">
        <v>132</v>
      </c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19">
        <v>0</v>
      </c>
      <c r="Z27" s="119">
        <v>0</v>
      </c>
      <c r="AA27" s="120">
        <v>0</v>
      </c>
    </row>
    <row r="28" spans="2:27" ht="20.25" customHeight="1" x14ac:dyDescent="0.25">
      <c r="B28" s="109"/>
      <c r="C28" s="109"/>
      <c r="L28" s="154" t="s">
        <v>37</v>
      </c>
      <c r="M28" s="154" t="s">
        <v>38</v>
      </c>
      <c r="N28" s="114">
        <v>45557</v>
      </c>
      <c r="O28" s="113" t="s">
        <v>111</v>
      </c>
      <c r="P28" s="113" t="s">
        <v>1311</v>
      </c>
      <c r="Q28" s="113" t="s">
        <v>113</v>
      </c>
      <c r="R28" s="115" t="s">
        <v>114</v>
      </c>
      <c r="S28" s="114">
        <v>45558</v>
      </c>
      <c r="T28" s="113" t="s">
        <v>83</v>
      </c>
      <c r="U28" s="113" t="s">
        <v>83</v>
      </c>
      <c r="V28" s="113" t="s">
        <v>1312</v>
      </c>
      <c r="W28" s="116" t="s">
        <v>1313</v>
      </c>
      <c r="X28" s="116" t="s">
        <v>83</v>
      </c>
      <c r="Y28" s="117">
        <v>0</v>
      </c>
      <c r="Z28" s="53">
        <v>19.5</v>
      </c>
      <c r="AA28" s="118">
        <v>0</v>
      </c>
    </row>
    <row r="29" spans="2:27" ht="20.25" customHeight="1" x14ac:dyDescent="0.25">
      <c r="B29" s="109"/>
      <c r="C29" s="109"/>
      <c r="L29" s="155"/>
      <c r="M29" s="155"/>
      <c r="N29" s="148">
        <v>45560</v>
      </c>
      <c r="O29" s="154" t="s">
        <v>111</v>
      </c>
      <c r="P29" s="154" t="s">
        <v>1314</v>
      </c>
      <c r="Q29" s="154" t="s">
        <v>113</v>
      </c>
      <c r="R29" s="150" t="s">
        <v>114</v>
      </c>
      <c r="S29" s="148">
        <v>45560</v>
      </c>
      <c r="T29" s="154" t="s">
        <v>83</v>
      </c>
      <c r="U29" s="160" t="s">
        <v>83</v>
      </c>
      <c r="V29" s="113" t="s">
        <v>1315</v>
      </c>
      <c r="W29" s="116" t="s">
        <v>1316</v>
      </c>
      <c r="X29" s="116" t="s">
        <v>83</v>
      </c>
      <c r="Y29" s="117">
        <v>0</v>
      </c>
      <c r="Z29" s="53">
        <v>28.59</v>
      </c>
      <c r="AA29" s="118">
        <v>0</v>
      </c>
    </row>
    <row r="30" spans="2:27" ht="20.25" customHeight="1" x14ac:dyDescent="0.25">
      <c r="B30" s="109"/>
      <c r="C30" s="109"/>
      <c r="L30" s="155"/>
      <c r="M30" s="155"/>
      <c r="N30" s="153"/>
      <c r="O30" s="155"/>
      <c r="P30" s="156"/>
      <c r="Q30" s="156"/>
      <c r="R30" s="152"/>
      <c r="S30" s="149"/>
      <c r="T30" s="156"/>
      <c r="U30" s="162"/>
      <c r="V30" s="113" t="s">
        <v>1317</v>
      </c>
      <c r="W30" s="116" t="s">
        <v>1316</v>
      </c>
      <c r="X30" s="116" t="s">
        <v>83</v>
      </c>
      <c r="Y30" s="117">
        <v>0</v>
      </c>
      <c r="Z30" s="53">
        <v>510.61</v>
      </c>
      <c r="AA30" s="118">
        <v>0</v>
      </c>
    </row>
    <row r="31" spans="2:27" ht="20.25" customHeight="1" x14ac:dyDescent="0.25">
      <c r="L31" s="155"/>
      <c r="M31" s="155"/>
      <c r="N31" s="149"/>
      <c r="O31" s="156"/>
      <c r="P31" s="113" t="s">
        <v>1318</v>
      </c>
      <c r="Q31" s="113" t="s">
        <v>113</v>
      </c>
      <c r="R31" s="115" t="s">
        <v>114</v>
      </c>
      <c r="S31" s="114">
        <v>45560</v>
      </c>
      <c r="T31" s="113" t="s">
        <v>83</v>
      </c>
      <c r="U31" s="113" t="s">
        <v>83</v>
      </c>
      <c r="V31" s="113" t="s">
        <v>1319</v>
      </c>
      <c r="W31" s="116" t="s">
        <v>1320</v>
      </c>
      <c r="X31" s="116" t="s">
        <v>83</v>
      </c>
      <c r="Y31" s="117">
        <v>0</v>
      </c>
      <c r="Z31" s="53">
        <v>38.46</v>
      </c>
      <c r="AA31" s="118">
        <v>0</v>
      </c>
    </row>
    <row r="32" spans="2:27" ht="20.25" customHeight="1" x14ac:dyDescent="0.25">
      <c r="L32" s="155"/>
      <c r="M32" s="155"/>
      <c r="N32" s="114">
        <v>45608</v>
      </c>
      <c r="O32" s="113" t="s">
        <v>111</v>
      </c>
      <c r="P32" s="113" t="s">
        <v>1321</v>
      </c>
      <c r="Q32" s="113" t="s">
        <v>113</v>
      </c>
      <c r="R32" s="115" t="s">
        <v>114</v>
      </c>
      <c r="S32" s="114">
        <v>45608</v>
      </c>
      <c r="T32" s="113" t="s">
        <v>83</v>
      </c>
      <c r="U32" s="113" t="s">
        <v>83</v>
      </c>
      <c r="V32" s="113" t="s">
        <v>1322</v>
      </c>
      <c r="W32" s="116" t="s">
        <v>1323</v>
      </c>
      <c r="X32" s="116" t="s">
        <v>83</v>
      </c>
      <c r="Y32" s="117">
        <v>0</v>
      </c>
      <c r="Z32" s="53">
        <v>281.75</v>
      </c>
      <c r="AA32" s="118">
        <v>0</v>
      </c>
    </row>
    <row r="33" spans="12:27" ht="20.25" customHeight="1" x14ac:dyDescent="0.25">
      <c r="L33" s="155"/>
      <c r="M33" s="155"/>
      <c r="N33" s="148">
        <v>45700</v>
      </c>
      <c r="O33" s="154" t="s">
        <v>111</v>
      </c>
      <c r="P33" s="113" t="s">
        <v>1324</v>
      </c>
      <c r="Q33" s="113" t="s">
        <v>113</v>
      </c>
      <c r="R33" s="115" t="s">
        <v>114</v>
      </c>
      <c r="S33" s="114">
        <v>45700</v>
      </c>
      <c r="T33" s="113" t="s">
        <v>83</v>
      </c>
      <c r="U33" s="113" t="s">
        <v>83</v>
      </c>
      <c r="V33" s="113" t="s">
        <v>1064</v>
      </c>
      <c r="W33" s="116" t="s">
        <v>1325</v>
      </c>
      <c r="X33" s="116" t="s">
        <v>83</v>
      </c>
      <c r="Y33" s="117">
        <v>0</v>
      </c>
      <c r="Z33" s="53">
        <v>65.16</v>
      </c>
      <c r="AA33" s="118">
        <v>0</v>
      </c>
    </row>
    <row r="34" spans="12:27" ht="20.25" customHeight="1" x14ac:dyDescent="0.25">
      <c r="L34" s="155"/>
      <c r="M34" s="155"/>
      <c r="N34" s="153"/>
      <c r="O34" s="155"/>
      <c r="P34" s="154" t="s">
        <v>1326</v>
      </c>
      <c r="Q34" s="154" t="s">
        <v>113</v>
      </c>
      <c r="R34" s="150" t="s">
        <v>114</v>
      </c>
      <c r="S34" s="148">
        <v>45700</v>
      </c>
      <c r="T34" s="154" t="s">
        <v>83</v>
      </c>
      <c r="U34" s="160" t="s">
        <v>83</v>
      </c>
      <c r="V34" s="113" t="s">
        <v>1064</v>
      </c>
      <c r="W34" s="116" t="s">
        <v>1327</v>
      </c>
      <c r="X34" s="116" t="s">
        <v>83</v>
      </c>
      <c r="Y34" s="117">
        <v>0</v>
      </c>
      <c r="Z34" s="53">
        <v>797.2</v>
      </c>
      <c r="AA34" s="118">
        <v>0</v>
      </c>
    </row>
    <row r="35" spans="12:27" ht="20.25" customHeight="1" x14ac:dyDescent="0.25">
      <c r="L35" s="155"/>
      <c r="M35" s="155"/>
      <c r="N35" s="149"/>
      <c r="O35" s="156"/>
      <c r="P35" s="156"/>
      <c r="Q35" s="156"/>
      <c r="R35" s="152"/>
      <c r="S35" s="149"/>
      <c r="T35" s="156"/>
      <c r="U35" s="162"/>
      <c r="V35" s="113" t="s">
        <v>1328</v>
      </c>
      <c r="W35" s="116" t="s">
        <v>1327</v>
      </c>
      <c r="X35" s="116" t="s">
        <v>83</v>
      </c>
      <c r="Y35" s="117">
        <v>0</v>
      </c>
      <c r="Z35" s="53">
        <v>44.64</v>
      </c>
      <c r="AA35" s="118">
        <v>0</v>
      </c>
    </row>
    <row r="36" spans="12:27" ht="20.25" customHeight="1" x14ac:dyDescent="0.25">
      <c r="L36" s="155"/>
      <c r="M36" s="155"/>
      <c r="N36" s="148">
        <v>45762</v>
      </c>
      <c r="O36" s="154" t="s">
        <v>329</v>
      </c>
      <c r="P36" s="154" t="s">
        <v>1329</v>
      </c>
      <c r="Q36" s="154" t="s">
        <v>113</v>
      </c>
      <c r="R36" s="150" t="s">
        <v>114</v>
      </c>
      <c r="S36" s="148">
        <v>45762</v>
      </c>
      <c r="T36" s="154" t="s">
        <v>83</v>
      </c>
      <c r="U36" s="160" t="s">
        <v>83</v>
      </c>
      <c r="V36" s="113" t="s">
        <v>1330</v>
      </c>
      <c r="W36" s="116" t="s">
        <v>1331</v>
      </c>
      <c r="X36" s="116" t="s">
        <v>83</v>
      </c>
      <c r="Y36" s="117">
        <v>0</v>
      </c>
      <c r="Z36" s="53">
        <v>-797.2</v>
      </c>
      <c r="AA36" s="118">
        <v>0</v>
      </c>
    </row>
    <row r="37" spans="12:27" ht="20.25" customHeight="1" x14ac:dyDescent="0.25">
      <c r="L37" s="155"/>
      <c r="M37" s="155"/>
      <c r="N37" s="149"/>
      <c r="O37" s="156"/>
      <c r="P37" s="156"/>
      <c r="Q37" s="156"/>
      <c r="R37" s="152"/>
      <c r="S37" s="149"/>
      <c r="T37" s="156"/>
      <c r="U37" s="162"/>
      <c r="V37" s="113" t="s">
        <v>1332</v>
      </c>
      <c r="W37" s="116" t="s">
        <v>1331</v>
      </c>
      <c r="X37" s="116" t="s">
        <v>83</v>
      </c>
      <c r="Y37" s="117">
        <v>0</v>
      </c>
      <c r="Z37" s="53">
        <v>-44.64</v>
      </c>
      <c r="AA37" s="118">
        <v>0</v>
      </c>
    </row>
    <row r="38" spans="12:27" ht="20.25" customHeight="1" x14ac:dyDescent="0.25">
      <c r="L38" s="155"/>
      <c r="M38" s="155"/>
      <c r="N38" s="148">
        <v>45769</v>
      </c>
      <c r="O38" s="154" t="s">
        <v>111</v>
      </c>
      <c r="P38" s="154" t="s">
        <v>1333</v>
      </c>
      <c r="Q38" s="154" t="s">
        <v>113</v>
      </c>
      <c r="R38" s="150" t="s">
        <v>114</v>
      </c>
      <c r="S38" s="148">
        <v>45769</v>
      </c>
      <c r="T38" s="154" t="s">
        <v>83</v>
      </c>
      <c r="U38" s="160" t="s">
        <v>83</v>
      </c>
      <c r="V38" s="113" t="s">
        <v>1334</v>
      </c>
      <c r="W38" s="116" t="s">
        <v>1335</v>
      </c>
      <c r="X38" s="116" t="s">
        <v>83</v>
      </c>
      <c r="Y38" s="117">
        <v>0</v>
      </c>
      <c r="Z38" s="53">
        <v>2404.13</v>
      </c>
      <c r="AA38" s="118">
        <v>0</v>
      </c>
    </row>
    <row r="39" spans="12:27" ht="20.25" customHeight="1" x14ac:dyDescent="0.25">
      <c r="L39" s="155"/>
      <c r="M39" s="155"/>
      <c r="N39" s="149"/>
      <c r="O39" s="156"/>
      <c r="P39" s="156"/>
      <c r="Q39" s="156"/>
      <c r="R39" s="152"/>
      <c r="S39" s="149"/>
      <c r="T39" s="156"/>
      <c r="U39" s="162"/>
      <c r="V39" s="113" t="s">
        <v>1336</v>
      </c>
      <c r="W39" s="116" t="s">
        <v>1335</v>
      </c>
      <c r="X39" s="116" t="s">
        <v>83</v>
      </c>
      <c r="Y39" s="117">
        <v>0</v>
      </c>
      <c r="Z39" s="53">
        <v>134.63</v>
      </c>
      <c r="AA39" s="118">
        <v>0</v>
      </c>
    </row>
    <row r="40" spans="12:27" ht="20.25" customHeight="1" x14ac:dyDescent="0.25">
      <c r="L40" s="155"/>
      <c r="M40" s="155"/>
      <c r="N40" s="114">
        <v>45804</v>
      </c>
      <c r="O40" s="113" t="s">
        <v>329</v>
      </c>
      <c r="P40" s="113" t="s">
        <v>1337</v>
      </c>
      <c r="Q40" s="113" t="s">
        <v>113</v>
      </c>
      <c r="R40" s="115" t="s">
        <v>114</v>
      </c>
      <c r="S40" s="114">
        <v>45804</v>
      </c>
      <c r="T40" s="113" t="s">
        <v>83</v>
      </c>
      <c r="U40" s="113" t="s">
        <v>83</v>
      </c>
      <c r="V40" s="113" t="s">
        <v>1338</v>
      </c>
      <c r="W40" s="116" t="s">
        <v>1088</v>
      </c>
      <c r="X40" s="116" t="s">
        <v>83</v>
      </c>
      <c r="Y40" s="117">
        <v>0</v>
      </c>
      <c r="Z40" s="53">
        <v>-2404.13</v>
      </c>
      <c r="AA40" s="118">
        <v>0</v>
      </c>
    </row>
    <row r="41" spans="12:27" ht="20.25" customHeight="1" x14ac:dyDescent="0.25">
      <c r="L41" s="155"/>
      <c r="M41" s="155"/>
      <c r="N41" s="114">
        <v>45819</v>
      </c>
      <c r="O41" s="113" t="s">
        <v>329</v>
      </c>
      <c r="P41" s="113" t="s">
        <v>1086</v>
      </c>
      <c r="Q41" s="113" t="s">
        <v>113</v>
      </c>
      <c r="R41" s="115" t="s">
        <v>114</v>
      </c>
      <c r="S41" s="114">
        <v>45819</v>
      </c>
      <c r="T41" s="113" t="s">
        <v>83</v>
      </c>
      <c r="U41" s="113" t="s">
        <v>83</v>
      </c>
      <c r="V41" s="113" t="s">
        <v>1087</v>
      </c>
      <c r="W41" s="116" t="s">
        <v>1088</v>
      </c>
      <c r="X41" s="116" t="s">
        <v>83</v>
      </c>
      <c r="Y41" s="117">
        <v>0</v>
      </c>
      <c r="Z41" s="53">
        <v>-65.16</v>
      </c>
      <c r="AA41" s="118">
        <v>0</v>
      </c>
    </row>
    <row r="42" spans="12:27" ht="20.25" customHeight="1" x14ac:dyDescent="0.25">
      <c r="L42" s="155"/>
      <c r="M42" s="155"/>
      <c r="N42" s="148">
        <v>45849</v>
      </c>
      <c r="O42" s="154" t="s">
        <v>469</v>
      </c>
      <c r="P42" s="154" t="s">
        <v>470</v>
      </c>
      <c r="Q42" s="154" t="s">
        <v>113</v>
      </c>
      <c r="R42" s="150" t="s">
        <v>114</v>
      </c>
      <c r="S42" s="148">
        <v>45849</v>
      </c>
      <c r="T42" s="154" t="s">
        <v>83</v>
      </c>
      <c r="U42" s="160" t="s">
        <v>83</v>
      </c>
      <c r="V42" s="113" t="s">
        <v>1103</v>
      </c>
      <c r="W42" s="116" t="s">
        <v>472</v>
      </c>
      <c r="X42" s="116" t="s">
        <v>83</v>
      </c>
      <c r="Y42" s="117">
        <v>0</v>
      </c>
      <c r="Z42" s="53">
        <v>-19.5</v>
      </c>
      <c r="AA42" s="118">
        <v>0</v>
      </c>
    </row>
    <row r="43" spans="12:27" ht="20.25" customHeight="1" x14ac:dyDescent="0.25">
      <c r="L43" s="155"/>
      <c r="M43" s="155"/>
      <c r="N43" s="153"/>
      <c r="O43" s="155"/>
      <c r="P43" s="155"/>
      <c r="Q43" s="155"/>
      <c r="R43" s="151"/>
      <c r="S43" s="153"/>
      <c r="T43" s="155"/>
      <c r="U43" s="161"/>
      <c r="V43" s="113" t="s">
        <v>1104</v>
      </c>
      <c r="W43" s="116" t="s">
        <v>472</v>
      </c>
      <c r="X43" s="116" t="s">
        <v>83</v>
      </c>
      <c r="Y43" s="117">
        <v>0</v>
      </c>
      <c r="Z43" s="53">
        <v>-28.59</v>
      </c>
      <c r="AA43" s="118">
        <v>0</v>
      </c>
    </row>
    <row r="44" spans="12:27" ht="20.25" customHeight="1" x14ac:dyDescent="0.25">
      <c r="L44" s="155"/>
      <c r="M44" s="155"/>
      <c r="N44" s="153"/>
      <c r="O44" s="155"/>
      <c r="P44" s="155"/>
      <c r="Q44" s="155"/>
      <c r="R44" s="151"/>
      <c r="S44" s="153"/>
      <c r="T44" s="155"/>
      <c r="U44" s="161"/>
      <c r="V44" s="113" t="s">
        <v>1105</v>
      </c>
      <c r="W44" s="116" t="s">
        <v>472</v>
      </c>
      <c r="X44" s="116" t="s">
        <v>83</v>
      </c>
      <c r="Y44" s="117">
        <v>0</v>
      </c>
      <c r="Z44" s="53">
        <v>-510.61</v>
      </c>
      <c r="AA44" s="118">
        <v>0</v>
      </c>
    </row>
    <row r="45" spans="12:27" ht="20.25" customHeight="1" x14ac:dyDescent="0.25">
      <c r="L45" s="155"/>
      <c r="M45" s="155"/>
      <c r="N45" s="153"/>
      <c r="O45" s="155"/>
      <c r="P45" s="155"/>
      <c r="Q45" s="155"/>
      <c r="R45" s="151"/>
      <c r="S45" s="153"/>
      <c r="T45" s="155"/>
      <c r="U45" s="161"/>
      <c r="V45" s="113" t="s">
        <v>1106</v>
      </c>
      <c r="W45" s="116" t="s">
        <v>472</v>
      </c>
      <c r="X45" s="116" t="s">
        <v>83</v>
      </c>
      <c r="Y45" s="117">
        <v>0</v>
      </c>
      <c r="Z45" s="53">
        <v>-38.46</v>
      </c>
      <c r="AA45" s="118">
        <v>0</v>
      </c>
    </row>
    <row r="46" spans="12:27" ht="20.25" customHeight="1" x14ac:dyDescent="0.25">
      <c r="L46" s="155"/>
      <c r="M46" s="155"/>
      <c r="N46" s="153"/>
      <c r="O46" s="155"/>
      <c r="P46" s="155"/>
      <c r="Q46" s="155"/>
      <c r="R46" s="151"/>
      <c r="S46" s="153"/>
      <c r="T46" s="155"/>
      <c r="U46" s="161"/>
      <c r="V46" s="113" t="s">
        <v>1107</v>
      </c>
      <c r="W46" s="116" t="s">
        <v>472</v>
      </c>
      <c r="X46" s="116" t="s">
        <v>83</v>
      </c>
      <c r="Y46" s="117">
        <v>0</v>
      </c>
      <c r="Z46" s="53">
        <v>-281.75</v>
      </c>
      <c r="AA46" s="118">
        <v>0</v>
      </c>
    </row>
    <row r="47" spans="12:27" ht="20.25" customHeight="1" x14ac:dyDescent="0.25">
      <c r="L47" s="156"/>
      <c r="M47" s="156"/>
      <c r="N47" s="149"/>
      <c r="O47" s="156"/>
      <c r="P47" s="156"/>
      <c r="Q47" s="156"/>
      <c r="R47" s="152"/>
      <c r="S47" s="149"/>
      <c r="T47" s="156"/>
      <c r="U47" s="162"/>
      <c r="V47" s="113" t="s">
        <v>1108</v>
      </c>
      <c r="W47" s="116" t="s">
        <v>472</v>
      </c>
      <c r="X47" s="116" t="s">
        <v>83</v>
      </c>
      <c r="Y47" s="117">
        <v>0</v>
      </c>
      <c r="Z47" s="53">
        <v>-134.63</v>
      </c>
      <c r="AA47" s="118">
        <v>0</v>
      </c>
    </row>
    <row r="48" spans="12:27" ht="20.25" customHeight="1" x14ac:dyDescent="0.25">
      <c r="L48" s="139" t="s">
        <v>193</v>
      </c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19">
        <v>0</v>
      </c>
      <c r="Z48" s="119">
        <v>7.3896444519050399E-13</v>
      </c>
      <c r="AA48" s="120">
        <v>0</v>
      </c>
    </row>
    <row r="49" spans="12:27" ht="20.25" customHeight="1" x14ac:dyDescent="0.25">
      <c r="L49" s="154" t="s">
        <v>39</v>
      </c>
      <c r="M49" s="154" t="s">
        <v>40</v>
      </c>
      <c r="N49" s="114">
        <v>45560</v>
      </c>
      <c r="O49" s="113" t="s">
        <v>111</v>
      </c>
      <c r="P49" s="113" t="s">
        <v>1339</v>
      </c>
      <c r="Q49" s="113" t="s">
        <v>113</v>
      </c>
      <c r="R49" s="115" t="s">
        <v>114</v>
      </c>
      <c r="S49" s="114">
        <v>45560</v>
      </c>
      <c r="T49" s="113" t="s">
        <v>83</v>
      </c>
      <c r="U49" s="113" t="s">
        <v>83</v>
      </c>
      <c r="V49" s="113" t="s">
        <v>1340</v>
      </c>
      <c r="W49" s="116" t="s">
        <v>1341</v>
      </c>
      <c r="X49" s="116" t="s">
        <v>83</v>
      </c>
      <c r="Y49" s="117">
        <v>0</v>
      </c>
      <c r="Z49" s="53">
        <v>67.55</v>
      </c>
      <c r="AA49" s="118">
        <v>0</v>
      </c>
    </row>
    <row r="50" spans="12:27" ht="20.25" customHeight="1" x14ac:dyDescent="0.25">
      <c r="L50" s="156"/>
      <c r="M50" s="156"/>
      <c r="N50" s="114">
        <v>45849</v>
      </c>
      <c r="O50" s="113" t="s">
        <v>469</v>
      </c>
      <c r="P50" s="113" t="s">
        <v>470</v>
      </c>
      <c r="Q50" s="113" t="s">
        <v>113</v>
      </c>
      <c r="R50" s="115" t="s">
        <v>114</v>
      </c>
      <c r="S50" s="114">
        <v>45849</v>
      </c>
      <c r="T50" s="113" t="s">
        <v>83</v>
      </c>
      <c r="U50" s="113" t="s">
        <v>83</v>
      </c>
      <c r="V50" s="113" t="s">
        <v>1140</v>
      </c>
      <c r="W50" s="116" t="s">
        <v>472</v>
      </c>
      <c r="X50" s="116" t="s">
        <v>83</v>
      </c>
      <c r="Y50" s="117">
        <v>0</v>
      </c>
      <c r="Z50" s="53">
        <v>-67.55</v>
      </c>
      <c r="AA50" s="118">
        <v>0</v>
      </c>
    </row>
    <row r="51" spans="12:27" ht="20.25" customHeight="1" x14ac:dyDescent="0.25">
      <c r="L51" s="139" t="s">
        <v>227</v>
      </c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19">
        <v>0</v>
      </c>
      <c r="Z51" s="119">
        <v>0</v>
      </c>
      <c r="AA51" s="120">
        <v>0</v>
      </c>
    </row>
    <row r="52" spans="12:27" ht="20.25" customHeight="1" x14ac:dyDescent="0.25">
      <c r="L52" s="154" t="s">
        <v>41</v>
      </c>
      <c r="M52" s="154" t="s">
        <v>42</v>
      </c>
      <c r="N52" s="114">
        <v>45533</v>
      </c>
      <c r="O52" s="113" t="s">
        <v>111</v>
      </c>
      <c r="P52" s="113" t="s">
        <v>1342</v>
      </c>
      <c r="Q52" s="113" t="s">
        <v>113</v>
      </c>
      <c r="R52" s="115" t="s">
        <v>114</v>
      </c>
      <c r="S52" s="114">
        <v>45533</v>
      </c>
      <c r="T52" s="113" t="s">
        <v>83</v>
      </c>
      <c r="U52" s="113" t="s">
        <v>83</v>
      </c>
      <c r="V52" s="113" t="s">
        <v>1343</v>
      </c>
      <c r="W52" s="116" t="s">
        <v>1344</v>
      </c>
      <c r="X52" s="116" t="s">
        <v>83</v>
      </c>
      <c r="Y52" s="117">
        <v>0</v>
      </c>
      <c r="Z52" s="53">
        <v>625</v>
      </c>
      <c r="AA52" s="118">
        <v>0</v>
      </c>
    </row>
    <row r="53" spans="12:27" ht="20.25" customHeight="1" x14ac:dyDescent="0.25">
      <c r="L53" s="156"/>
      <c r="M53" s="156"/>
      <c r="N53" s="114">
        <v>45849</v>
      </c>
      <c r="O53" s="113" t="s">
        <v>469</v>
      </c>
      <c r="P53" s="113" t="s">
        <v>470</v>
      </c>
      <c r="Q53" s="113" t="s">
        <v>113</v>
      </c>
      <c r="R53" s="115" t="s">
        <v>114</v>
      </c>
      <c r="S53" s="114">
        <v>45849</v>
      </c>
      <c r="T53" s="113" t="s">
        <v>83</v>
      </c>
      <c r="U53" s="113" t="s">
        <v>83</v>
      </c>
      <c r="V53" s="113" t="s">
        <v>1144</v>
      </c>
      <c r="W53" s="116" t="s">
        <v>472</v>
      </c>
      <c r="X53" s="116" t="s">
        <v>83</v>
      </c>
      <c r="Y53" s="117">
        <v>0</v>
      </c>
      <c r="Z53" s="53">
        <v>-625</v>
      </c>
      <c r="AA53" s="118">
        <v>0</v>
      </c>
    </row>
    <row r="54" spans="12:27" ht="20.25" customHeight="1" x14ac:dyDescent="0.25">
      <c r="L54" s="139" t="s">
        <v>236</v>
      </c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19">
        <v>0</v>
      </c>
      <c r="Z54" s="119">
        <v>0</v>
      </c>
      <c r="AA54" s="120">
        <v>0</v>
      </c>
    </row>
    <row r="55" spans="12:27" ht="20.25" customHeight="1" x14ac:dyDescent="0.25">
      <c r="L55" s="154" t="s">
        <v>43</v>
      </c>
      <c r="M55" s="154" t="s">
        <v>44</v>
      </c>
      <c r="N55" s="114">
        <v>45554</v>
      </c>
      <c r="O55" s="113" t="s">
        <v>111</v>
      </c>
      <c r="P55" s="113" t="s">
        <v>1297</v>
      </c>
      <c r="Q55" s="113" t="s">
        <v>113</v>
      </c>
      <c r="R55" s="115" t="s">
        <v>114</v>
      </c>
      <c r="S55" s="114">
        <v>45554</v>
      </c>
      <c r="T55" s="113" t="s">
        <v>83</v>
      </c>
      <c r="U55" s="113" t="s">
        <v>83</v>
      </c>
      <c r="V55" s="113" t="s">
        <v>1345</v>
      </c>
      <c r="W55" s="116" t="s">
        <v>1299</v>
      </c>
      <c r="X55" s="116" t="s">
        <v>83</v>
      </c>
      <c r="Y55" s="117">
        <v>0</v>
      </c>
      <c r="Z55" s="53">
        <v>1.99</v>
      </c>
      <c r="AA55" s="118">
        <v>0</v>
      </c>
    </row>
    <row r="56" spans="12:27" ht="20.25" customHeight="1" x14ac:dyDescent="0.25">
      <c r="L56" s="156"/>
      <c r="M56" s="156"/>
      <c r="N56" s="114">
        <v>45849</v>
      </c>
      <c r="O56" s="113" t="s">
        <v>469</v>
      </c>
      <c r="P56" s="113" t="s">
        <v>470</v>
      </c>
      <c r="Q56" s="113" t="s">
        <v>113</v>
      </c>
      <c r="R56" s="115" t="s">
        <v>114</v>
      </c>
      <c r="S56" s="114">
        <v>45849</v>
      </c>
      <c r="T56" s="113" t="s">
        <v>83</v>
      </c>
      <c r="U56" s="113" t="s">
        <v>83</v>
      </c>
      <c r="V56" s="113" t="s">
        <v>1148</v>
      </c>
      <c r="W56" s="116" t="s">
        <v>472</v>
      </c>
      <c r="X56" s="116" t="s">
        <v>83</v>
      </c>
      <c r="Y56" s="117">
        <v>0</v>
      </c>
      <c r="Z56" s="53">
        <v>-1.99</v>
      </c>
      <c r="AA56" s="118">
        <v>0</v>
      </c>
    </row>
    <row r="57" spans="12:27" ht="20.25" customHeight="1" x14ac:dyDescent="0.25">
      <c r="L57" s="139" t="s">
        <v>240</v>
      </c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19">
        <v>0</v>
      </c>
      <c r="Z57" s="119">
        <v>0</v>
      </c>
      <c r="AA57" s="120">
        <v>0</v>
      </c>
    </row>
    <row r="58" spans="12:27" ht="20.25" customHeight="1" x14ac:dyDescent="0.25">
      <c r="L58" s="154" t="s">
        <v>45</v>
      </c>
      <c r="M58" s="154" t="s">
        <v>46</v>
      </c>
      <c r="N58" s="114">
        <v>45608</v>
      </c>
      <c r="O58" s="113" t="s">
        <v>111</v>
      </c>
      <c r="P58" s="113" t="s">
        <v>1321</v>
      </c>
      <c r="Q58" s="113" t="s">
        <v>113</v>
      </c>
      <c r="R58" s="115" t="s">
        <v>114</v>
      </c>
      <c r="S58" s="114">
        <v>45608</v>
      </c>
      <c r="T58" s="113" t="s">
        <v>83</v>
      </c>
      <c r="U58" s="113" t="s">
        <v>83</v>
      </c>
      <c r="V58" s="113" t="s">
        <v>1322</v>
      </c>
      <c r="W58" s="116" t="s">
        <v>1323</v>
      </c>
      <c r="X58" s="116" t="s">
        <v>83</v>
      </c>
      <c r="Y58" s="117">
        <v>0</v>
      </c>
      <c r="Z58" s="53">
        <v>4.99</v>
      </c>
      <c r="AA58" s="118">
        <v>0</v>
      </c>
    </row>
    <row r="59" spans="12:27" ht="20.25" customHeight="1" x14ac:dyDescent="0.25">
      <c r="L59" s="156"/>
      <c r="M59" s="156"/>
      <c r="N59" s="114">
        <v>45849</v>
      </c>
      <c r="O59" s="113" t="s">
        <v>469</v>
      </c>
      <c r="P59" s="113" t="s">
        <v>470</v>
      </c>
      <c r="Q59" s="113" t="s">
        <v>113</v>
      </c>
      <c r="R59" s="115" t="s">
        <v>114</v>
      </c>
      <c r="S59" s="114">
        <v>45849</v>
      </c>
      <c r="T59" s="113" t="s">
        <v>83</v>
      </c>
      <c r="U59" s="113" t="s">
        <v>83</v>
      </c>
      <c r="V59" s="113" t="s">
        <v>1107</v>
      </c>
      <c r="W59" s="116" t="s">
        <v>472</v>
      </c>
      <c r="X59" s="116" t="s">
        <v>83</v>
      </c>
      <c r="Y59" s="117">
        <v>0</v>
      </c>
      <c r="Z59" s="53">
        <v>-4.99</v>
      </c>
      <c r="AA59" s="118">
        <v>0</v>
      </c>
    </row>
    <row r="60" spans="12:27" ht="20.25" customHeight="1" x14ac:dyDescent="0.25">
      <c r="L60" s="139" t="s">
        <v>256</v>
      </c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19">
        <v>0</v>
      </c>
      <c r="Z60" s="119">
        <v>0</v>
      </c>
      <c r="AA60" s="120">
        <v>0</v>
      </c>
    </row>
    <row r="61" spans="12:27" ht="20.25" customHeight="1" x14ac:dyDescent="0.25">
      <c r="L61" s="154" t="s">
        <v>47</v>
      </c>
      <c r="M61" s="154" t="s">
        <v>48</v>
      </c>
      <c r="N61" s="148">
        <v>45588</v>
      </c>
      <c r="O61" s="154" t="s">
        <v>111</v>
      </c>
      <c r="P61" s="113" t="s">
        <v>1346</v>
      </c>
      <c r="Q61" s="113" t="s">
        <v>113</v>
      </c>
      <c r="R61" s="115" t="s">
        <v>114</v>
      </c>
      <c r="S61" s="114">
        <v>45588</v>
      </c>
      <c r="T61" s="113" t="s">
        <v>83</v>
      </c>
      <c r="U61" s="113" t="s">
        <v>83</v>
      </c>
      <c r="V61" s="113" t="s">
        <v>1347</v>
      </c>
      <c r="W61" s="116" t="s">
        <v>1348</v>
      </c>
      <c r="X61" s="116" t="s">
        <v>83</v>
      </c>
      <c r="Y61" s="117">
        <v>0</v>
      </c>
      <c r="Z61" s="53">
        <v>43.47</v>
      </c>
      <c r="AA61" s="118">
        <v>0</v>
      </c>
    </row>
    <row r="62" spans="12:27" ht="20.25" customHeight="1" x14ac:dyDescent="0.25">
      <c r="L62" s="155"/>
      <c r="M62" s="155"/>
      <c r="N62" s="149"/>
      <c r="O62" s="156"/>
      <c r="P62" s="113" t="s">
        <v>1349</v>
      </c>
      <c r="Q62" s="113" t="s">
        <v>113</v>
      </c>
      <c r="R62" s="115" t="s">
        <v>114</v>
      </c>
      <c r="S62" s="114">
        <v>45588</v>
      </c>
      <c r="T62" s="113" t="s">
        <v>83</v>
      </c>
      <c r="U62" s="113" t="s">
        <v>83</v>
      </c>
      <c r="V62" s="113" t="s">
        <v>1350</v>
      </c>
      <c r="W62" s="116" t="s">
        <v>1351</v>
      </c>
      <c r="X62" s="116" t="s">
        <v>83</v>
      </c>
      <c r="Y62" s="117">
        <v>0</v>
      </c>
      <c r="Z62" s="53">
        <v>21.73</v>
      </c>
      <c r="AA62" s="118">
        <v>0</v>
      </c>
    </row>
    <row r="63" spans="12:27" ht="20.25" customHeight="1" x14ac:dyDescent="0.25">
      <c r="L63" s="155"/>
      <c r="M63" s="155"/>
      <c r="N63" s="148">
        <v>45762</v>
      </c>
      <c r="O63" s="154" t="s">
        <v>111</v>
      </c>
      <c r="P63" s="113" t="s">
        <v>1352</v>
      </c>
      <c r="Q63" s="113" t="s">
        <v>113</v>
      </c>
      <c r="R63" s="115" t="s">
        <v>114</v>
      </c>
      <c r="S63" s="114">
        <v>45762</v>
      </c>
      <c r="T63" s="113" t="s">
        <v>83</v>
      </c>
      <c r="U63" s="113" t="s">
        <v>83</v>
      </c>
      <c r="V63" s="113" t="s">
        <v>1353</v>
      </c>
      <c r="W63" s="116" t="s">
        <v>1354</v>
      </c>
      <c r="X63" s="116" t="s">
        <v>83</v>
      </c>
      <c r="Y63" s="117">
        <v>0</v>
      </c>
      <c r="Z63" s="53">
        <v>41.28</v>
      </c>
      <c r="AA63" s="118">
        <v>0</v>
      </c>
    </row>
    <row r="64" spans="12:27" ht="20.25" customHeight="1" x14ac:dyDescent="0.25">
      <c r="L64" s="155"/>
      <c r="M64" s="155"/>
      <c r="N64" s="153"/>
      <c r="O64" s="155"/>
      <c r="P64" s="113" t="s">
        <v>1355</v>
      </c>
      <c r="Q64" s="113" t="s">
        <v>113</v>
      </c>
      <c r="R64" s="115" t="s">
        <v>114</v>
      </c>
      <c r="S64" s="114">
        <v>45762</v>
      </c>
      <c r="T64" s="113" t="s">
        <v>83</v>
      </c>
      <c r="U64" s="113" t="s">
        <v>83</v>
      </c>
      <c r="V64" s="113" t="s">
        <v>1356</v>
      </c>
      <c r="W64" s="116" t="s">
        <v>1357</v>
      </c>
      <c r="X64" s="116" t="s">
        <v>83</v>
      </c>
      <c r="Y64" s="117">
        <v>0</v>
      </c>
      <c r="Z64" s="53">
        <v>86.94</v>
      </c>
      <c r="AA64" s="118">
        <v>0</v>
      </c>
    </row>
    <row r="65" spans="12:27" ht="20.25" customHeight="1" x14ac:dyDescent="0.25">
      <c r="L65" s="155"/>
      <c r="M65" s="155"/>
      <c r="N65" s="149"/>
      <c r="O65" s="156"/>
      <c r="P65" s="113" t="s">
        <v>1358</v>
      </c>
      <c r="Q65" s="113" t="s">
        <v>113</v>
      </c>
      <c r="R65" s="115" t="s">
        <v>114</v>
      </c>
      <c r="S65" s="114">
        <v>45762</v>
      </c>
      <c r="T65" s="113" t="s">
        <v>83</v>
      </c>
      <c r="U65" s="113" t="s">
        <v>83</v>
      </c>
      <c r="V65" s="113" t="s">
        <v>1359</v>
      </c>
      <c r="W65" s="116" t="s">
        <v>1360</v>
      </c>
      <c r="X65" s="116" t="s">
        <v>83</v>
      </c>
      <c r="Y65" s="117">
        <v>0</v>
      </c>
      <c r="Z65" s="53">
        <v>3956.15</v>
      </c>
      <c r="AA65" s="118">
        <v>0</v>
      </c>
    </row>
    <row r="66" spans="12:27" ht="20.25" customHeight="1" x14ac:dyDescent="0.25">
      <c r="L66" s="155"/>
      <c r="M66" s="155"/>
      <c r="N66" s="148">
        <v>45849</v>
      </c>
      <c r="O66" s="154" t="s">
        <v>469</v>
      </c>
      <c r="P66" s="154" t="s">
        <v>470</v>
      </c>
      <c r="Q66" s="154" t="s">
        <v>113</v>
      </c>
      <c r="R66" s="150" t="s">
        <v>114</v>
      </c>
      <c r="S66" s="148">
        <v>45849</v>
      </c>
      <c r="T66" s="154" t="s">
        <v>83</v>
      </c>
      <c r="U66" s="160" t="s">
        <v>83</v>
      </c>
      <c r="V66" s="113" t="s">
        <v>1193</v>
      </c>
      <c r="W66" s="116" t="s">
        <v>472</v>
      </c>
      <c r="X66" s="116" t="s">
        <v>83</v>
      </c>
      <c r="Y66" s="117">
        <v>0</v>
      </c>
      <c r="Z66" s="53">
        <v>-43.47</v>
      </c>
      <c r="AA66" s="118">
        <v>0</v>
      </c>
    </row>
    <row r="67" spans="12:27" ht="20.25" customHeight="1" x14ac:dyDescent="0.25">
      <c r="L67" s="155"/>
      <c r="M67" s="155"/>
      <c r="N67" s="153"/>
      <c r="O67" s="155"/>
      <c r="P67" s="155"/>
      <c r="Q67" s="155"/>
      <c r="R67" s="151"/>
      <c r="S67" s="153"/>
      <c r="T67" s="155"/>
      <c r="U67" s="161"/>
      <c r="V67" s="113" t="s">
        <v>1194</v>
      </c>
      <c r="W67" s="116" t="s">
        <v>472</v>
      </c>
      <c r="X67" s="116" t="s">
        <v>83</v>
      </c>
      <c r="Y67" s="117">
        <v>0</v>
      </c>
      <c r="Z67" s="53">
        <v>-21.73</v>
      </c>
      <c r="AA67" s="118">
        <v>0</v>
      </c>
    </row>
    <row r="68" spans="12:27" ht="20.25" customHeight="1" x14ac:dyDescent="0.25">
      <c r="L68" s="155"/>
      <c r="M68" s="155"/>
      <c r="N68" s="153"/>
      <c r="O68" s="155"/>
      <c r="P68" s="155"/>
      <c r="Q68" s="155"/>
      <c r="R68" s="151"/>
      <c r="S68" s="153"/>
      <c r="T68" s="155"/>
      <c r="U68" s="161"/>
      <c r="V68" s="113" t="s">
        <v>1195</v>
      </c>
      <c r="W68" s="116" t="s">
        <v>472</v>
      </c>
      <c r="X68" s="116" t="s">
        <v>83</v>
      </c>
      <c r="Y68" s="117">
        <v>0</v>
      </c>
      <c r="Z68" s="53">
        <v>-41.28</v>
      </c>
      <c r="AA68" s="118">
        <v>0</v>
      </c>
    </row>
    <row r="69" spans="12:27" ht="20.25" customHeight="1" x14ac:dyDescent="0.25">
      <c r="L69" s="155"/>
      <c r="M69" s="155"/>
      <c r="N69" s="153"/>
      <c r="O69" s="155"/>
      <c r="P69" s="155"/>
      <c r="Q69" s="155"/>
      <c r="R69" s="151"/>
      <c r="S69" s="153"/>
      <c r="T69" s="155"/>
      <c r="U69" s="161"/>
      <c r="V69" s="113" t="s">
        <v>1196</v>
      </c>
      <c r="W69" s="116" t="s">
        <v>472</v>
      </c>
      <c r="X69" s="116" t="s">
        <v>83</v>
      </c>
      <c r="Y69" s="117">
        <v>0</v>
      </c>
      <c r="Z69" s="53">
        <v>-86.94</v>
      </c>
      <c r="AA69" s="118">
        <v>0</v>
      </c>
    </row>
    <row r="70" spans="12:27" ht="20.25" customHeight="1" x14ac:dyDescent="0.25">
      <c r="L70" s="156"/>
      <c r="M70" s="156"/>
      <c r="N70" s="149"/>
      <c r="O70" s="156"/>
      <c r="P70" s="156"/>
      <c r="Q70" s="156"/>
      <c r="R70" s="152"/>
      <c r="S70" s="149"/>
      <c r="T70" s="156"/>
      <c r="U70" s="162"/>
      <c r="V70" s="113" t="s">
        <v>1197</v>
      </c>
      <c r="W70" s="116" t="s">
        <v>472</v>
      </c>
      <c r="X70" s="116" t="s">
        <v>83</v>
      </c>
      <c r="Y70" s="117">
        <v>0</v>
      </c>
      <c r="Z70" s="53">
        <v>-3956.15</v>
      </c>
      <c r="AA70" s="118">
        <v>0</v>
      </c>
    </row>
    <row r="71" spans="12:27" ht="20.25" customHeight="1" x14ac:dyDescent="0.25">
      <c r="L71" s="139" t="s">
        <v>261</v>
      </c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19">
        <v>0</v>
      </c>
      <c r="Z71" s="119">
        <v>-9.0949470177292804E-13</v>
      </c>
      <c r="AA71" s="120">
        <v>0</v>
      </c>
    </row>
    <row r="72" spans="12:27" ht="20.25" customHeight="1" x14ac:dyDescent="0.25">
      <c r="L72" s="113" t="s">
        <v>58</v>
      </c>
      <c r="M72" s="113" t="s">
        <v>59</v>
      </c>
      <c r="N72" s="114">
        <v>45484</v>
      </c>
      <c r="O72" s="113" t="s">
        <v>228</v>
      </c>
      <c r="P72" s="113" t="s">
        <v>1361</v>
      </c>
      <c r="Q72" s="113" t="s">
        <v>113</v>
      </c>
      <c r="R72" s="115" t="s">
        <v>114</v>
      </c>
      <c r="S72" s="114">
        <v>45484</v>
      </c>
      <c r="T72" s="113" t="s">
        <v>83</v>
      </c>
      <c r="U72" s="113" t="s">
        <v>83</v>
      </c>
      <c r="V72" s="113" t="s">
        <v>320</v>
      </c>
      <c r="W72" s="116" t="s">
        <v>1362</v>
      </c>
      <c r="X72" s="116" t="s">
        <v>83</v>
      </c>
      <c r="Y72" s="117">
        <v>0</v>
      </c>
      <c r="Z72" s="53">
        <v>322.72000000000003</v>
      </c>
      <c r="AA72" s="118">
        <v>0</v>
      </c>
    </row>
    <row r="73" spans="12:27" ht="20.25" customHeight="1" x14ac:dyDescent="0.25">
      <c r="L73" s="139" t="s">
        <v>321</v>
      </c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19">
        <v>0</v>
      </c>
      <c r="Z73" s="119">
        <v>322.72000000000003</v>
      </c>
      <c r="AA73" s="120">
        <v>0</v>
      </c>
    </row>
    <row r="74" spans="12:27" ht="20.25" customHeight="1" x14ac:dyDescent="0.25">
      <c r="L74" s="154" t="s">
        <v>60</v>
      </c>
      <c r="M74" s="154" t="s">
        <v>61</v>
      </c>
      <c r="N74" s="148">
        <v>45808</v>
      </c>
      <c r="O74" s="154" t="s">
        <v>111</v>
      </c>
      <c r="P74" s="113" t="s">
        <v>1363</v>
      </c>
      <c r="Q74" s="113" t="s">
        <v>113</v>
      </c>
      <c r="R74" s="115" t="s">
        <v>114</v>
      </c>
      <c r="S74" s="114">
        <v>45810</v>
      </c>
      <c r="T74" s="113" t="s">
        <v>83</v>
      </c>
      <c r="U74" s="113" t="s">
        <v>83</v>
      </c>
      <c r="V74" s="113" t="s">
        <v>1364</v>
      </c>
      <c r="W74" s="116" t="s">
        <v>1365</v>
      </c>
      <c r="X74" s="116" t="s">
        <v>83</v>
      </c>
      <c r="Y74" s="117">
        <v>0</v>
      </c>
      <c r="Z74" s="53">
        <v>179.98</v>
      </c>
      <c r="AA74" s="118">
        <v>0</v>
      </c>
    </row>
    <row r="75" spans="12:27" ht="20.25" customHeight="1" x14ac:dyDescent="0.25">
      <c r="L75" s="155"/>
      <c r="M75" s="155"/>
      <c r="N75" s="149"/>
      <c r="O75" s="156"/>
      <c r="P75" s="113" t="s">
        <v>1366</v>
      </c>
      <c r="Q75" s="113" t="s">
        <v>113</v>
      </c>
      <c r="R75" s="115" t="s">
        <v>114</v>
      </c>
      <c r="S75" s="114">
        <v>45810</v>
      </c>
      <c r="T75" s="113" t="s">
        <v>83</v>
      </c>
      <c r="U75" s="113" t="s">
        <v>83</v>
      </c>
      <c r="V75" s="113" t="s">
        <v>1364</v>
      </c>
      <c r="W75" s="116" t="s">
        <v>1367</v>
      </c>
      <c r="X75" s="116" t="s">
        <v>83</v>
      </c>
      <c r="Y75" s="117">
        <v>0</v>
      </c>
      <c r="Z75" s="53">
        <v>264.49</v>
      </c>
      <c r="AA75" s="118">
        <v>0</v>
      </c>
    </row>
    <row r="76" spans="12:27" ht="20.25" customHeight="1" x14ac:dyDescent="0.25">
      <c r="L76" s="155"/>
      <c r="M76" s="155"/>
      <c r="N76" s="148">
        <v>45820</v>
      </c>
      <c r="O76" s="154" t="s">
        <v>329</v>
      </c>
      <c r="P76" s="154" t="s">
        <v>1211</v>
      </c>
      <c r="Q76" s="154" t="s">
        <v>113</v>
      </c>
      <c r="R76" s="150" t="s">
        <v>114</v>
      </c>
      <c r="S76" s="148">
        <v>45820</v>
      </c>
      <c r="T76" s="154" t="s">
        <v>83</v>
      </c>
      <c r="U76" s="160" t="s">
        <v>83</v>
      </c>
      <c r="V76" s="113" t="s">
        <v>1368</v>
      </c>
      <c r="W76" s="116" t="s">
        <v>1088</v>
      </c>
      <c r="X76" s="116" t="s">
        <v>83</v>
      </c>
      <c r="Y76" s="117">
        <v>0</v>
      </c>
      <c r="Z76" s="53">
        <v>-179.98</v>
      </c>
      <c r="AA76" s="118">
        <v>0</v>
      </c>
    </row>
    <row r="77" spans="12:27" ht="20.25" customHeight="1" x14ac:dyDescent="0.25">
      <c r="L77" s="156"/>
      <c r="M77" s="156"/>
      <c r="N77" s="149"/>
      <c r="O77" s="156"/>
      <c r="P77" s="156"/>
      <c r="Q77" s="156"/>
      <c r="R77" s="152"/>
      <c r="S77" s="149"/>
      <c r="T77" s="156"/>
      <c r="U77" s="162"/>
      <c r="V77" s="113" t="s">
        <v>1369</v>
      </c>
      <c r="W77" s="116" t="s">
        <v>1088</v>
      </c>
      <c r="X77" s="116" t="s">
        <v>83</v>
      </c>
      <c r="Y77" s="117">
        <v>0</v>
      </c>
      <c r="Z77" s="53">
        <v>-264.49</v>
      </c>
      <c r="AA77" s="118">
        <v>0</v>
      </c>
    </row>
    <row r="78" spans="12:27" ht="20.25" customHeight="1" x14ac:dyDescent="0.25">
      <c r="L78" s="139" t="s">
        <v>326</v>
      </c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19">
        <v>0</v>
      </c>
      <c r="Z78" s="119">
        <v>0</v>
      </c>
      <c r="AA78" s="120">
        <v>0</v>
      </c>
    </row>
    <row r="79" spans="12:27" ht="20.25" customHeight="1" x14ac:dyDescent="0.25">
      <c r="L79" s="113" t="s">
        <v>62</v>
      </c>
      <c r="M79" s="113" t="s">
        <v>63</v>
      </c>
      <c r="N79" s="114">
        <v>45484</v>
      </c>
      <c r="O79" s="113" t="s">
        <v>228</v>
      </c>
      <c r="P79" s="113" t="s">
        <v>1361</v>
      </c>
      <c r="Q79" s="113" t="s">
        <v>113</v>
      </c>
      <c r="R79" s="115" t="s">
        <v>114</v>
      </c>
      <c r="S79" s="114">
        <v>45484</v>
      </c>
      <c r="T79" s="113" t="s">
        <v>83</v>
      </c>
      <c r="U79" s="113" t="s">
        <v>83</v>
      </c>
      <c r="V79" s="113" t="s">
        <v>1370</v>
      </c>
      <c r="W79" s="116" t="s">
        <v>1362</v>
      </c>
      <c r="X79" s="116" t="s">
        <v>83</v>
      </c>
      <c r="Y79" s="117">
        <v>0</v>
      </c>
      <c r="Z79" s="53">
        <v>495</v>
      </c>
      <c r="AA79" s="118">
        <v>0</v>
      </c>
    </row>
    <row r="80" spans="12:27" ht="20.25" customHeight="1" x14ac:dyDescent="0.25">
      <c r="L80" s="139" t="s">
        <v>328</v>
      </c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19">
        <v>0</v>
      </c>
      <c r="Z80" s="119">
        <v>495</v>
      </c>
      <c r="AA80" s="120">
        <v>0</v>
      </c>
    </row>
    <row r="81" spans="12:27" ht="20.25" customHeight="1" x14ac:dyDescent="0.25">
      <c r="L81" s="154" t="s">
        <v>65</v>
      </c>
      <c r="M81" s="154" t="s">
        <v>66</v>
      </c>
      <c r="N81" s="114">
        <v>45604</v>
      </c>
      <c r="O81" s="113" t="s">
        <v>1371</v>
      </c>
      <c r="P81" s="113" t="s">
        <v>1372</v>
      </c>
      <c r="Q81" s="113" t="s">
        <v>113</v>
      </c>
      <c r="R81" s="115" t="s">
        <v>114</v>
      </c>
      <c r="S81" s="114">
        <v>45604</v>
      </c>
      <c r="T81" s="113" t="s">
        <v>334</v>
      </c>
      <c r="U81" s="113" t="s">
        <v>83</v>
      </c>
      <c r="V81" s="113" t="s">
        <v>335</v>
      </c>
      <c r="W81" s="116" t="s">
        <v>1373</v>
      </c>
      <c r="X81" s="116" t="s">
        <v>335</v>
      </c>
      <c r="Y81" s="117">
        <v>0</v>
      </c>
      <c r="Z81" s="53">
        <v>0</v>
      </c>
      <c r="AA81" s="118">
        <v>22020.49</v>
      </c>
    </row>
    <row r="82" spans="12:27" ht="20.25" customHeight="1" x14ac:dyDescent="0.25">
      <c r="L82" s="156"/>
      <c r="M82" s="156"/>
      <c r="N82" s="114">
        <v>45609</v>
      </c>
      <c r="O82" s="113" t="s">
        <v>253</v>
      </c>
      <c r="P82" s="113" t="s">
        <v>1374</v>
      </c>
      <c r="Q82" s="113" t="s">
        <v>113</v>
      </c>
      <c r="R82" s="115" t="s">
        <v>114</v>
      </c>
      <c r="S82" s="114">
        <v>45609</v>
      </c>
      <c r="T82" s="113" t="s">
        <v>334</v>
      </c>
      <c r="U82" s="113" t="s">
        <v>83</v>
      </c>
      <c r="V82" s="113" t="s">
        <v>335</v>
      </c>
      <c r="W82" s="116" t="s">
        <v>1375</v>
      </c>
      <c r="X82" s="116" t="s">
        <v>335</v>
      </c>
      <c r="Y82" s="117">
        <v>0</v>
      </c>
      <c r="Z82" s="53">
        <v>23253.64</v>
      </c>
      <c r="AA82" s="118">
        <v>-22020.49</v>
      </c>
    </row>
    <row r="83" spans="12:27" ht="20.25" customHeight="1" x14ac:dyDescent="0.25">
      <c r="L83" s="139" t="s">
        <v>341</v>
      </c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19">
        <v>0</v>
      </c>
      <c r="Z83" s="119">
        <v>23253.64</v>
      </c>
      <c r="AA83" s="120">
        <v>0</v>
      </c>
    </row>
  </sheetData>
  <mergeCells count="142">
    <mergeCell ref="L2:AA2"/>
    <mergeCell ref="T42:T47"/>
    <mergeCell ref="U42:U47"/>
    <mergeCell ref="L48:X48"/>
    <mergeCell ref="L51:X51"/>
    <mergeCell ref="L54:X54"/>
    <mergeCell ref="T34:T35"/>
    <mergeCell ref="U34:U35"/>
    <mergeCell ref="T36:T37"/>
    <mergeCell ref="U36:U37"/>
    <mergeCell ref="T38:T39"/>
    <mergeCell ref="U38:U39"/>
    <mergeCell ref="T5:T7"/>
    <mergeCell ref="U5:U7"/>
    <mergeCell ref="T8:T10"/>
    <mergeCell ref="U8:U10"/>
    <mergeCell ref="L11:X11"/>
    <mergeCell ref="L14:X14"/>
    <mergeCell ref="T15:T16"/>
    <mergeCell ref="U15:U16"/>
    <mergeCell ref="T18:T20"/>
    <mergeCell ref="U18:U20"/>
    <mergeCell ref="L21:X21"/>
    <mergeCell ref="L24:X24"/>
    <mergeCell ref="U29:U30"/>
    <mergeCell ref="L81:L82"/>
    <mergeCell ref="M81:M82"/>
    <mergeCell ref="L78:X78"/>
    <mergeCell ref="L80:X80"/>
    <mergeCell ref="L83:X83"/>
    <mergeCell ref="L74:L77"/>
    <mergeCell ref="M74:M77"/>
    <mergeCell ref="N74:N75"/>
    <mergeCell ref="O74:O75"/>
    <mergeCell ref="N76:N77"/>
    <mergeCell ref="O76:O77"/>
    <mergeCell ref="P76:P77"/>
    <mergeCell ref="Q76:Q77"/>
    <mergeCell ref="R76:R77"/>
    <mergeCell ref="S76:S77"/>
    <mergeCell ref="L71:X71"/>
    <mergeCell ref="L73:X73"/>
    <mergeCell ref="T76:T77"/>
    <mergeCell ref="U76:U77"/>
    <mergeCell ref="L61:L70"/>
    <mergeCell ref="M61:M70"/>
    <mergeCell ref="S66:S70"/>
    <mergeCell ref="L60:X60"/>
    <mergeCell ref="T66:T70"/>
    <mergeCell ref="U66:U70"/>
    <mergeCell ref="L55:L56"/>
    <mergeCell ref="M55:M56"/>
    <mergeCell ref="L58:L59"/>
    <mergeCell ref="M58:M59"/>
    <mergeCell ref="L57:X57"/>
    <mergeCell ref="N61:N62"/>
    <mergeCell ref="O61:O62"/>
    <mergeCell ref="N63:N65"/>
    <mergeCell ref="O63:O65"/>
    <mergeCell ref="N66:N70"/>
    <mergeCell ref="O66:O70"/>
    <mergeCell ref="P66:P70"/>
    <mergeCell ref="Q66:Q70"/>
    <mergeCell ref="R66:R70"/>
    <mergeCell ref="L49:L50"/>
    <mergeCell ref="M49:M50"/>
    <mergeCell ref="L52:L53"/>
    <mergeCell ref="M52:M53"/>
    <mergeCell ref="S38:S39"/>
    <mergeCell ref="N42:N47"/>
    <mergeCell ref="O42:O47"/>
    <mergeCell ref="P42:P47"/>
    <mergeCell ref="Q42:Q47"/>
    <mergeCell ref="R42:R47"/>
    <mergeCell ref="S42:S47"/>
    <mergeCell ref="N38:N39"/>
    <mergeCell ref="O38:O39"/>
    <mergeCell ref="P38:P39"/>
    <mergeCell ref="Q38:Q39"/>
    <mergeCell ref="R38:R39"/>
    <mergeCell ref="R34:R35"/>
    <mergeCell ref="S34:S35"/>
    <mergeCell ref="N36:N37"/>
    <mergeCell ref="O36:O37"/>
    <mergeCell ref="P36:P37"/>
    <mergeCell ref="Q36:Q37"/>
    <mergeCell ref="R36:R37"/>
    <mergeCell ref="S36:S37"/>
    <mergeCell ref="L25:L26"/>
    <mergeCell ref="M25:M26"/>
    <mergeCell ref="L28:L47"/>
    <mergeCell ref="M28:M47"/>
    <mergeCell ref="N29:N31"/>
    <mergeCell ref="O29:O31"/>
    <mergeCell ref="P29:P30"/>
    <mergeCell ref="Q29:Q30"/>
    <mergeCell ref="R29:R30"/>
    <mergeCell ref="S29:S30"/>
    <mergeCell ref="N33:N35"/>
    <mergeCell ref="O33:O35"/>
    <mergeCell ref="P34:P35"/>
    <mergeCell ref="Q34:Q35"/>
    <mergeCell ref="L27:X27"/>
    <mergeCell ref="T29:T30"/>
    <mergeCell ref="N15:N16"/>
    <mergeCell ref="O15:O16"/>
    <mergeCell ref="P15:P16"/>
    <mergeCell ref="Q15:Q16"/>
    <mergeCell ref="R15:R16"/>
    <mergeCell ref="C21:E21"/>
    <mergeCell ref="B22:E22"/>
    <mergeCell ref="L22:L23"/>
    <mergeCell ref="M22:M23"/>
    <mergeCell ref="C17:C19"/>
    <mergeCell ref="N18:N20"/>
    <mergeCell ref="O18:O20"/>
    <mergeCell ref="P18:P20"/>
    <mergeCell ref="Q18:Q20"/>
    <mergeCell ref="S15:S16"/>
    <mergeCell ref="R18:R20"/>
    <mergeCell ref="S18:S20"/>
    <mergeCell ref="P8:P10"/>
    <mergeCell ref="Q8:Q10"/>
    <mergeCell ref="R8:R10"/>
    <mergeCell ref="S8:S10"/>
    <mergeCell ref="B2:J2"/>
    <mergeCell ref="B5:B21"/>
    <mergeCell ref="C5:C16"/>
    <mergeCell ref="L5:L10"/>
    <mergeCell ref="M5:M10"/>
    <mergeCell ref="N5:N7"/>
    <mergeCell ref="O5:O7"/>
    <mergeCell ref="P5:P7"/>
    <mergeCell ref="Q5:Q7"/>
    <mergeCell ref="R5:R7"/>
    <mergeCell ref="S5:S7"/>
    <mergeCell ref="N8:N10"/>
    <mergeCell ref="O8:O10"/>
    <mergeCell ref="L12:L13"/>
    <mergeCell ref="M12:M13"/>
    <mergeCell ref="L15:L20"/>
    <mergeCell ref="M15:M20"/>
  </mergeCells>
  <hyperlinks>
    <hyperlink ref="R34" r:id="rId1" xr:uid="{BB9EE7E5-34D5-4ACE-82D5-E30E09D028AA}"/>
    <hyperlink ref="R33" r:id="rId2" xr:uid="{15694350-7189-4EA6-8910-E8A540A422B8}"/>
    <hyperlink ref="R32" r:id="rId3" xr:uid="{5F06AC3A-D2B1-46FC-80F5-82842874F358}"/>
    <hyperlink ref="R31" r:id="rId4" xr:uid="{28703F58-10C0-4811-9A14-72ADFCD82FE7}"/>
    <hyperlink ref="R29" r:id="rId5" xr:uid="{DAEDE2BF-AF31-4922-9B20-FD5D8C187BCD}"/>
    <hyperlink ref="R28" r:id="rId6" xr:uid="{D44C1950-AB64-47FE-B236-8FBAC262EED1}"/>
    <hyperlink ref="R26" r:id="rId7" xr:uid="{546D4554-E3CE-4721-8D4F-9CE5C9976A28}"/>
    <hyperlink ref="R25" r:id="rId8" xr:uid="{C024B2FA-7D83-48D3-BFE5-85A7741C5D79}"/>
    <hyperlink ref="R23" r:id="rId9" xr:uid="{63F49B99-F629-4B7E-95C3-746C03C40E13}"/>
    <hyperlink ref="R22" r:id="rId10" xr:uid="{3200D94A-03FA-43E2-856B-661458D3671D}"/>
    <hyperlink ref="R18" r:id="rId11" xr:uid="{A38CAA4C-CA70-4862-804F-E950BFF59ED0}"/>
    <hyperlink ref="R17" r:id="rId12" xr:uid="{39489CCF-41A1-49AA-8138-1C1BEFA26EF9}"/>
    <hyperlink ref="R82" r:id="rId13" xr:uid="{6B9C4C20-08A6-4226-999B-CD0534C1BF9A}"/>
    <hyperlink ref="R81" r:id="rId14" xr:uid="{CF93A5D2-55F7-4E07-B7E0-2C6A886FC14D}"/>
    <hyperlink ref="R15" r:id="rId15" xr:uid="{4631D757-6CE8-48DE-B47B-CEC0F5483D76}"/>
    <hyperlink ref="R79" r:id="rId16" xr:uid="{F54E903F-34CA-4E39-8139-F505FBFEA32A}"/>
    <hyperlink ref="R76" r:id="rId17" xr:uid="{696BBC58-B70F-4BD5-B75C-4A762D7EA836}"/>
    <hyperlink ref="R75" r:id="rId18" xr:uid="{EA18F493-EB53-4DC5-8CFC-9693BE6DA786}"/>
    <hyperlink ref="R13" r:id="rId19" xr:uid="{B5D52DE6-895A-440E-A6D5-797C39801EEE}"/>
    <hyperlink ref="R12" r:id="rId20" xr:uid="{4BB11DDE-085D-40C0-A9D1-C5433635DD26}"/>
    <hyperlink ref="R74" r:id="rId21" xr:uid="{1FC3F7C9-9313-4CC1-8989-588116E0F32D}"/>
    <hyperlink ref="R8" r:id="rId22" xr:uid="{891ED672-1AAF-4054-AE12-4E955EB77E0E}"/>
    <hyperlink ref="R72" r:id="rId23" xr:uid="{4F14D9DC-FEF3-4C3F-9BF2-E6EA9123762F}"/>
    <hyperlink ref="R5" r:id="rId24" xr:uid="{2A99CB65-5557-4967-A31C-922AA0B9A20C}"/>
    <hyperlink ref="R66" r:id="rId25" xr:uid="{6D0A6A70-CB62-4A08-937C-FDEBD609B9C7}"/>
    <hyperlink ref="R65" r:id="rId26" xr:uid="{BB8E99E5-0116-4307-8819-F4A18075DC8D}"/>
    <hyperlink ref="R64" r:id="rId27" xr:uid="{2128EC7B-E043-42A4-9C7E-44572A45688B}"/>
    <hyperlink ref="R63" r:id="rId28" xr:uid="{6B806DC0-BAC0-4490-8383-1AC23C6159CE}"/>
    <hyperlink ref="R62" r:id="rId29" xr:uid="{A1ADD148-23B8-456D-8042-0FB9F5F3380C}"/>
    <hyperlink ref="R61" r:id="rId30" xr:uid="{18EAFF0B-4BCA-43A2-B880-BCC98A7C7F33}"/>
    <hyperlink ref="R59" r:id="rId31" xr:uid="{314B5F89-AA0A-4B97-9714-4287247E514D}"/>
    <hyperlink ref="R58" r:id="rId32" xr:uid="{E7E5D0D5-4B48-4517-8550-F2F8CF18167C}"/>
    <hyperlink ref="R56" r:id="rId33" xr:uid="{9941AF9F-9906-450E-A0B7-BC79F78090EE}"/>
    <hyperlink ref="R55" r:id="rId34" xr:uid="{FAF0A62E-A723-449F-B0A0-9B65A06A47E7}"/>
    <hyperlink ref="R53" r:id="rId35" xr:uid="{50BEBDD9-1DF1-49BE-A490-F564961D2714}"/>
    <hyperlink ref="R52" r:id="rId36" xr:uid="{7FD29837-5647-45F5-B5D5-A9D4059183C7}"/>
    <hyperlink ref="R50" r:id="rId37" xr:uid="{72FD0878-F271-4767-809D-FE9699802411}"/>
    <hyperlink ref="R49" r:id="rId38" xr:uid="{0ADECB95-FC09-4D5E-AC79-21DF82EC6891}"/>
    <hyperlink ref="R42" r:id="rId39" xr:uid="{3BF71931-6E0B-424F-BFFE-3DA287123836}"/>
    <hyperlink ref="R41" r:id="rId40" xr:uid="{91A01C2E-E957-40C8-A24F-3988B2C67C05}"/>
    <hyperlink ref="R40" r:id="rId41" xr:uid="{15166DB2-B46F-4EFC-B4F5-9830CAA3853E}"/>
    <hyperlink ref="R38" r:id="rId42" xr:uid="{A890972E-A7EF-46C5-AF0F-C0A452D8CEA5}"/>
    <hyperlink ref="R36" r:id="rId43" xr:uid="{BB78D1F8-3CBF-4EC4-8AC7-D66C71A89ED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35B2-6E5F-4D77-A264-7BCADB214B0E}">
  <sheetPr>
    <tabColor theme="7" tint="0.79998168889431442"/>
  </sheetPr>
  <dimension ref="B2:AB20"/>
  <sheetViews>
    <sheetView showGridLines="0" zoomScaleNormal="100" workbookViewId="0">
      <selection activeCell="K28" sqref="K28"/>
    </sheetView>
  </sheetViews>
  <sheetFormatPr defaultRowHeight="15" x14ac:dyDescent="0.25"/>
  <cols>
    <col min="1" max="1" width="4.7109375" customWidth="1"/>
    <col min="2" max="2" width="16" bestFit="1" customWidth="1"/>
    <col min="3" max="3" width="26.28515625" bestFit="1" customWidth="1"/>
    <col min="4" max="4" width="11.85546875" bestFit="1" customWidth="1"/>
    <col min="5" max="5" width="23.42578125" bestFit="1" customWidth="1"/>
    <col min="6" max="6" width="14.5703125" bestFit="1" customWidth="1"/>
    <col min="7" max="7" width="17.85546875" bestFit="1" customWidth="1"/>
    <col min="8" max="8" width="16.42578125" bestFit="1" customWidth="1"/>
    <col min="9" max="9" width="19.28515625" bestFit="1" customWidth="1"/>
    <col min="10" max="10" width="16.7109375" bestFit="1" customWidth="1"/>
    <col min="11" max="11" width="10.28515625" customWidth="1"/>
    <col min="12" max="12" width="11.85546875" bestFit="1" customWidth="1"/>
    <col min="13" max="13" width="23.28515625" bestFit="1" customWidth="1"/>
    <col min="14" max="14" width="15.85546875" bestFit="1" customWidth="1"/>
    <col min="15" max="15" width="10.140625" bestFit="1" customWidth="1"/>
    <col min="16" max="16" width="18.140625" bestFit="1" customWidth="1"/>
    <col min="17" max="17" width="6.42578125" bestFit="1" customWidth="1"/>
    <col min="18" max="18" width="15.28515625" bestFit="1" customWidth="1"/>
    <col min="19" max="19" width="10.7109375" bestFit="1" customWidth="1"/>
    <col min="20" max="20" width="9.42578125" customWidth="1"/>
    <col min="21" max="21" width="11.5703125" customWidth="1"/>
    <col min="22" max="22" width="24" bestFit="1" customWidth="1"/>
    <col min="23" max="23" width="98.7109375" bestFit="1" customWidth="1"/>
    <col min="24" max="24" width="24" bestFit="1" customWidth="1"/>
    <col min="25" max="25" width="22.42578125" bestFit="1" customWidth="1"/>
    <col min="26" max="26" width="21.42578125" bestFit="1" customWidth="1"/>
    <col min="27" max="27" width="20.7109375" bestFit="1" customWidth="1"/>
  </cols>
  <sheetData>
    <row r="2" spans="2:28" x14ac:dyDescent="0.25">
      <c r="B2" s="136" t="s">
        <v>359</v>
      </c>
      <c r="C2" s="136"/>
      <c r="D2" s="136"/>
      <c r="E2" s="136"/>
      <c r="F2" s="136"/>
      <c r="G2" s="136"/>
      <c r="H2" s="136"/>
      <c r="I2" s="136"/>
      <c r="J2" s="136"/>
      <c r="L2" s="136" t="s">
        <v>361</v>
      </c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</row>
    <row r="3" spans="2:28" x14ac:dyDescent="0.25">
      <c r="B3" s="82"/>
      <c r="C3" s="82"/>
      <c r="D3" s="82"/>
      <c r="E3" s="82"/>
      <c r="F3" s="8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60" x14ac:dyDescent="0.25">
      <c r="B4" s="101" t="s">
        <v>344</v>
      </c>
      <c r="C4" s="101" t="s">
        <v>1</v>
      </c>
      <c r="D4" s="101" t="s">
        <v>2</v>
      </c>
      <c r="E4" s="101" t="s">
        <v>3</v>
      </c>
      <c r="F4" s="101" t="s">
        <v>1463</v>
      </c>
      <c r="G4" s="101" t="s">
        <v>5</v>
      </c>
      <c r="H4" s="101" t="s">
        <v>1464</v>
      </c>
      <c r="I4" s="101" t="s">
        <v>1465</v>
      </c>
      <c r="J4" s="101" t="s">
        <v>8</v>
      </c>
      <c r="L4" s="133" t="s">
        <v>2</v>
      </c>
      <c r="M4" s="133" t="s">
        <v>3</v>
      </c>
      <c r="N4" s="133" t="s">
        <v>69</v>
      </c>
      <c r="O4" s="133" t="s">
        <v>70</v>
      </c>
      <c r="P4" s="133" t="s">
        <v>71</v>
      </c>
      <c r="Q4" s="133" t="s">
        <v>72</v>
      </c>
      <c r="R4" s="133" t="s">
        <v>73</v>
      </c>
      <c r="S4" s="133" t="s">
        <v>74</v>
      </c>
      <c r="T4" s="133" t="s">
        <v>75</v>
      </c>
      <c r="U4" s="133" t="s">
        <v>76</v>
      </c>
      <c r="V4" s="133" t="s">
        <v>77</v>
      </c>
      <c r="W4" s="133" t="s">
        <v>78</v>
      </c>
      <c r="X4" s="133" t="s">
        <v>79</v>
      </c>
      <c r="Y4" s="134" t="s">
        <v>80</v>
      </c>
      <c r="Z4" s="134" t="s">
        <v>81</v>
      </c>
      <c r="AA4" s="135" t="s">
        <v>82</v>
      </c>
      <c r="AB4" s="1"/>
    </row>
    <row r="5" spans="2:28" x14ac:dyDescent="0.25">
      <c r="B5" s="157" t="s">
        <v>1467</v>
      </c>
      <c r="C5" s="102" t="s">
        <v>10</v>
      </c>
      <c r="D5" s="102" t="s">
        <v>11</v>
      </c>
      <c r="E5" s="102" t="s">
        <v>12</v>
      </c>
      <c r="F5" s="103">
        <v>0</v>
      </c>
      <c r="G5" s="104">
        <v>0</v>
      </c>
      <c r="H5" s="104">
        <v>0</v>
      </c>
      <c r="I5" s="103">
        <v>0</v>
      </c>
      <c r="J5" s="104">
        <v>0</v>
      </c>
      <c r="L5" s="124" t="s">
        <v>1380</v>
      </c>
      <c r="M5" s="124" t="s">
        <v>1381</v>
      </c>
      <c r="N5" s="125">
        <v>45350</v>
      </c>
      <c r="O5" s="124" t="s">
        <v>84</v>
      </c>
      <c r="P5" s="124" t="s">
        <v>1382</v>
      </c>
      <c r="Q5" s="124" t="s">
        <v>113</v>
      </c>
      <c r="R5" s="126" t="s">
        <v>114</v>
      </c>
      <c r="S5" s="125">
        <v>45350</v>
      </c>
      <c r="T5" s="124" t="s">
        <v>83</v>
      </c>
      <c r="U5" s="124" t="s">
        <v>83</v>
      </c>
      <c r="V5" s="124" t="s">
        <v>1383</v>
      </c>
      <c r="W5" s="127" t="s">
        <v>1384</v>
      </c>
      <c r="X5" s="127" t="s">
        <v>83</v>
      </c>
      <c r="Y5" s="128">
        <v>0</v>
      </c>
      <c r="Z5" s="129">
        <v>-300000</v>
      </c>
      <c r="AA5" s="130">
        <v>0</v>
      </c>
      <c r="AB5" s="1"/>
    </row>
    <row r="6" spans="2:28" x14ac:dyDescent="0.25">
      <c r="B6" s="158"/>
      <c r="C6" s="144" t="s">
        <v>13</v>
      </c>
      <c r="D6" s="102" t="s">
        <v>1380</v>
      </c>
      <c r="E6" s="102" t="s">
        <v>1381</v>
      </c>
      <c r="F6" s="103">
        <v>0</v>
      </c>
      <c r="G6" s="104">
        <v>-300000</v>
      </c>
      <c r="H6" s="104">
        <v>-300000</v>
      </c>
      <c r="I6" s="103">
        <v>0</v>
      </c>
      <c r="J6" s="104">
        <v>300000</v>
      </c>
      <c r="L6" s="163" t="s">
        <v>1385</v>
      </c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31">
        <v>0</v>
      </c>
      <c r="Z6" s="131">
        <v>-300000</v>
      </c>
      <c r="AA6" s="132">
        <v>0</v>
      </c>
      <c r="AB6" s="1"/>
    </row>
    <row r="7" spans="2:28" x14ac:dyDescent="0.25">
      <c r="B7" s="158"/>
      <c r="C7" s="144"/>
      <c r="D7" s="102" t="s">
        <v>1386</v>
      </c>
      <c r="E7" s="102" t="s">
        <v>1387</v>
      </c>
      <c r="F7" s="103">
        <v>0</v>
      </c>
      <c r="G7" s="104">
        <v>-7.0000000000000007E-2</v>
      </c>
      <c r="H7" s="104">
        <v>-7.0000000000000007E-2</v>
      </c>
      <c r="I7" s="103">
        <v>0</v>
      </c>
      <c r="J7" s="104">
        <v>7.0000000000000007E-2</v>
      </c>
      <c r="L7" s="124" t="s">
        <v>1386</v>
      </c>
      <c r="M7" s="124" t="s">
        <v>1387</v>
      </c>
      <c r="N7" s="125">
        <v>45481</v>
      </c>
      <c r="O7" s="124" t="s">
        <v>1388</v>
      </c>
      <c r="P7" s="124" t="s">
        <v>1389</v>
      </c>
      <c r="Q7" s="124" t="s">
        <v>113</v>
      </c>
      <c r="R7" s="126" t="s">
        <v>114</v>
      </c>
      <c r="S7" s="125">
        <v>45481</v>
      </c>
      <c r="T7" s="124" t="s">
        <v>83</v>
      </c>
      <c r="U7" s="124" t="s">
        <v>83</v>
      </c>
      <c r="V7" s="124" t="s">
        <v>1390</v>
      </c>
      <c r="W7" s="127" t="s">
        <v>1391</v>
      </c>
      <c r="X7" s="127" t="s">
        <v>83</v>
      </c>
      <c r="Y7" s="128">
        <v>0</v>
      </c>
      <c r="Z7" s="129">
        <v>-7.0000000000000007E-2</v>
      </c>
      <c r="AA7" s="130">
        <v>0</v>
      </c>
      <c r="AB7" s="1"/>
    </row>
    <row r="8" spans="2:28" x14ac:dyDescent="0.25">
      <c r="B8" s="158"/>
      <c r="C8" s="145" t="s">
        <v>16</v>
      </c>
      <c r="D8" s="146"/>
      <c r="E8" s="147"/>
      <c r="F8" s="112">
        <v>0</v>
      </c>
      <c r="G8" s="106">
        <v>-300000.07</v>
      </c>
      <c r="H8" s="106">
        <v>-300000.07</v>
      </c>
      <c r="I8" s="112">
        <v>0</v>
      </c>
      <c r="J8" s="106">
        <v>300000.07</v>
      </c>
      <c r="L8" s="163" t="s">
        <v>1392</v>
      </c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31">
        <v>0</v>
      </c>
      <c r="Z8" s="131">
        <v>-7.0000000000000007E-2</v>
      </c>
      <c r="AA8" s="132">
        <v>0</v>
      </c>
      <c r="AB8" s="1"/>
    </row>
    <row r="9" spans="2:28" x14ac:dyDescent="0.25">
      <c r="B9" s="158"/>
      <c r="C9" s="102" t="s">
        <v>24</v>
      </c>
      <c r="D9" s="102" t="s">
        <v>55</v>
      </c>
      <c r="E9" s="102" t="s">
        <v>56</v>
      </c>
      <c r="F9" s="103">
        <v>0</v>
      </c>
      <c r="G9" s="104">
        <v>0</v>
      </c>
      <c r="H9" s="104">
        <v>0</v>
      </c>
      <c r="I9" s="103">
        <v>0</v>
      </c>
      <c r="J9" s="104">
        <v>0</v>
      </c>
      <c r="L9" s="165" t="s">
        <v>65</v>
      </c>
      <c r="M9" s="165" t="s">
        <v>66</v>
      </c>
      <c r="N9" s="125">
        <v>45380</v>
      </c>
      <c r="O9" s="124" t="s">
        <v>154</v>
      </c>
      <c r="P9" s="124" t="s">
        <v>333</v>
      </c>
      <c r="Q9" s="124" t="s">
        <v>113</v>
      </c>
      <c r="R9" s="126" t="s">
        <v>114</v>
      </c>
      <c r="S9" s="125">
        <v>45380</v>
      </c>
      <c r="T9" s="124" t="s">
        <v>334</v>
      </c>
      <c r="U9" s="124" t="s">
        <v>83</v>
      </c>
      <c r="V9" s="124" t="s">
        <v>335</v>
      </c>
      <c r="W9" s="127" t="s">
        <v>336</v>
      </c>
      <c r="X9" s="127" t="s">
        <v>335</v>
      </c>
      <c r="Y9" s="128">
        <v>0</v>
      </c>
      <c r="Z9" s="129">
        <v>0</v>
      </c>
      <c r="AA9" s="130">
        <v>300000</v>
      </c>
      <c r="AB9" s="1"/>
    </row>
    <row r="10" spans="2:28" x14ac:dyDescent="0.25">
      <c r="B10" s="158"/>
      <c r="C10" s="102" t="s">
        <v>64</v>
      </c>
      <c r="D10" s="102" t="s">
        <v>65</v>
      </c>
      <c r="E10" s="102" t="s">
        <v>66</v>
      </c>
      <c r="F10" s="103">
        <v>0</v>
      </c>
      <c r="G10" s="104">
        <v>300000.07</v>
      </c>
      <c r="H10" s="104">
        <v>300000.07</v>
      </c>
      <c r="I10" s="103">
        <v>0</v>
      </c>
      <c r="J10" s="104">
        <v>-300000.07</v>
      </c>
      <c r="L10" s="166"/>
      <c r="M10" s="166"/>
      <c r="N10" s="125">
        <v>45449</v>
      </c>
      <c r="O10" s="124" t="s">
        <v>253</v>
      </c>
      <c r="P10" s="124" t="s">
        <v>337</v>
      </c>
      <c r="Q10" s="124" t="s">
        <v>113</v>
      </c>
      <c r="R10" s="126" t="s">
        <v>114</v>
      </c>
      <c r="S10" s="125">
        <v>45449</v>
      </c>
      <c r="T10" s="124" t="s">
        <v>334</v>
      </c>
      <c r="U10" s="124" t="s">
        <v>83</v>
      </c>
      <c r="V10" s="124" t="s">
        <v>335</v>
      </c>
      <c r="W10" s="127" t="s">
        <v>338</v>
      </c>
      <c r="X10" s="127" t="s">
        <v>335</v>
      </c>
      <c r="Y10" s="128">
        <v>0</v>
      </c>
      <c r="Z10" s="129">
        <v>300000.07</v>
      </c>
      <c r="AA10" s="130">
        <v>-300000</v>
      </c>
      <c r="AB10" s="1"/>
    </row>
    <row r="11" spans="2:28" x14ac:dyDescent="0.25">
      <c r="B11" s="159"/>
      <c r="C11" s="145" t="s">
        <v>67</v>
      </c>
      <c r="D11" s="146"/>
      <c r="E11" s="147"/>
      <c r="F11" s="112">
        <v>0</v>
      </c>
      <c r="G11" s="106">
        <v>300000.07</v>
      </c>
      <c r="H11" s="106">
        <v>300000.07</v>
      </c>
      <c r="I11" s="112">
        <v>0</v>
      </c>
      <c r="J11" s="106">
        <v>-300000.07</v>
      </c>
      <c r="L11" s="163" t="s">
        <v>341</v>
      </c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31">
        <v>0</v>
      </c>
      <c r="Z11" s="131">
        <v>300000.07</v>
      </c>
      <c r="AA11" s="132">
        <v>0</v>
      </c>
      <c r="AB11" s="1"/>
    </row>
    <row r="12" spans="2:28" x14ac:dyDescent="0.25">
      <c r="B12" s="138" t="s">
        <v>1304</v>
      </c>
      <c r="C12" s="138"/>
      <c r="D12" s="138"/>
      <c r="E12" s="138"/>
      <c r="F12" s="107">
        <v>0</v>
      </c>
      <c r="G12" s="108">
        <v>0</v>
      </c>
      <c r="H12" s="108">
        <v>0</v>
      </c>
      <c r="I12" s="107">
        <v>0</v>
      </c>
      <c r="J12" s="108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2:28" x14ac:dyDescent="0.25"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2:28" x14ac:dyDescent="0.25"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2:28" x14ac:dyDescent="0.25"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2:28" x14ac:dyDescent="0.25"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2:28" x14ac:dyDescent="0.25"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2:28" x14ac:dyDescent="0.25"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2:28" x14ac:dyDescent="0.25"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2:28" x14ac:dyDescent="0.25"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</sheetData>
  <mergeCells count="12">
    <mergeCell ref="L2:AA2"/>
    <mergeCell ref="B12:E12"/>
    <mergeCell ref="B2:J2"/>
    <mergeCell ref="B5:B11"/>
    <mergeCell ref="C6:C7"/>
    <mergeCell ref="C8:E8"/>
    <mergeCell ref="C11:E11"/>
    <mergeCell ref="L11:X11"/>
    <mergeCell ref="L6:X6"/>
    <mergeCell ref="L8:X8"/>
    <mergeCell ref="L9:L10"/>
    <mergeCell ref="M9:M10"/>
  </mergeCells>
  <hyperlinks>
    <hyperlink ref="R10" r:id="rId1" xr:uid="{00000000-0004-0000-0000-000000000000}"/>
    <hyperlink ref="R9" r:id="rId2" xr:uid="{00000000-0004-0000-0000-000001000000}"/>
    <hyperlink ref="R7" r:id="rId3" xr:uid="{00000000-0004-0000-0000-000002000000}"/>
    <hyperlink ref="R5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1101935 FY24</vt:lpstr>
      <vt:lpstr>1101935 FY25</vt:lpstr>
      <vt:lpstr>1101935 FY26</vt:lpstr>
      <vt:lpstr>5406011 FY24</vt:lpstr>
      <vt:lpstr>2176351 FY25</vt:lpstr>
      <vt:lpstr>2176351 FY26</vt:lpstr>
      <vt:lpstr>2176300 BMEAM FY24</vt:lpstr>
      <vt:lpstr>2176300 BMEAM FY25</vt:lpstr>
      <vt:lpstr>2215510 BME AM FY24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2025-08-28T19:12:52Z</dcterms:created>
  <dcterms:modified xsi:type="dcterms:W3CDTF">2025-09-03T21:24:26Z</dcterms:modified>
</cp:coreProperties>
</file>